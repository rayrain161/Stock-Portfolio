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計" sheetId="1" r:id="rId4"/>
    <sheet state="visible" name="record" sheetId="2" r:id="rId5"/>
    <sheet state="visible" name="美股庫存" sheetId="3" r:id="rId6"/>
    <sheet state="visible" name="台股庫存" sheetId="4" r:id="rId7"/>
    <sheet state="visible" name="美股購買" sheetId="5" r:id="rId8"/>
    <sheet state="visible" name="台股購買" sheetId="6" r:id="rId9"/>
    <sheet state="visible" name="美股已實現損益" sheetId="7" r:id="rId10"/>
    <sheet state="visible" name="台股表單回應" sheetId="8" r:id="rId11"/>
  </sheets>
  <definedNames/>
  <calcPr/>
</workbook>
</file>

<file path=xl/sharedStrings.xml><?xml version="1.0" encoding="utf-8"?>
<sst xmlns="http://schemas.openxmlformats.org/spreadsheetml/2006/main" count="629" uniqueCount="131">
  <si>
    <t>財產配置</t>
  </si>
  <si>
    <t>市值</t>
  </si>
  <si>
    <t>成本</t>
  </si>
  <si>
    <t>損益</t>
  </si>
  <si>
    <t>損益率</t>
  </si>
  <si>
    <t>股票代號</t>
  </si>
  <si>
    <t>股票名稱</t>
  </si>
  <si>
    <t>現價</t>
  </si>
  <si>
    <t>持有股數</t>
  </si>
  <si>
    <t>總投資成本</t>
  </si>
  <si>
    <t>日期</t>
  </si>
  <si>
    <t>郵局</t>
  </si>
  <si>
    <t>中國信託</t>
  </si>
  <si>
    <t>富邦</t>
  </si>
  <si>
    <t>富邦外幣</t>
  </si>
  <si>
    <t>富邦證卷</t>
  </si>
  <si>
    <t>富邦證卷複委託</t>
  </si>
  <si>
    <t>國泰</t>
  </si>
  <si>
    <t>line bank</t>
  </si>
  <si>
    <t>firstrade-cash(TWD)</t>
  </si>
  <si>
    <t>firstrade-position(TWD)</t>
  </si>
  <si>
    <t>firstrade-cash(USD)</t>
  </si>
  <si>
    <t>firstrade-position(USD)</t>
  </si>
  <si>
    <t>加總</t>
  </si>
  <si>
    <t>現金</t>
  </si>
  <si>
    <t>台股</t>
  </si>
  <si>
    <t>美股</t>
  </si>
  <si>
    <t>變化</t>
  </si>
  <si>
    <t>變化每日</t>
  </si>
  <si>
    <r>
      <rPr>
        <rFont val="Arial"/>
        <b/>
        <color rgb="FF000000"/>
        <sz val="15.0"/>
      </rPr>
      <t>美股</t>
    </r>
    <r>
      <rPr>
        <rFont val="Arial"/>
        <b/>
        <color rgb="FF000000"/>
        <sz val="13.0"/>
      </rPr>
      <t>(TWD)</t>
    </r>
  </si>
  <si>
    <t>美股(USD)</t>
  </si>
  <si>
    <t>美元匯率</t>
  </si>
  <si>
    <t>台股市值</t>
  </si>
  <si>
    <t>台股成本</t>
  </si>
  <si>
    <t>台股損益</t>
  </si>
  <si>
    <t>台股損益率</t>
  </si>
  <si>
    <t>美股(TWD) 市值</t>
  </si>
  <si>
    <t>美股(TWD) 成本</t>
  </si>
  <si>
    <t>美股(TWD) 損益</t>
  </si>
  <si>
    <t>美股(TWD) 損益率</t>
  </si>
  <si>
    <t>美股(USD) 市值</t>
  </si>
  <si>
    <t>美股(USD) 成本</t>
  </si>
  <si>
    <t>美股(USD) 損益</t>
  </si>
  <si>
    <t>美股(USD) 損益率</t>
  </si>
  <si>
    <t>總市值</t>
  </si>
  <si>
    <t>總成本</t>
  </si>
  <si>
    <t>總損益</t>
  </si>
  <si>
    <t>總損益率</t>
  </si>
  <si>
    <t>平均成本</t>
  </si>
  <si>
    <t>市值(USD)</t>
  </si>
  <si>
    <t>成本(TWD)</t>
  </si>
  <si>
    <t>今日走勢$</t>
  </si>
  <si>
    <t>今日走勢</t>
  </si>
  <si>
    <t>今日損益</t>
  </si>
  <si>
    <t>股票類別</t>
  </si>
  <si>
    <t>TSLA</t>
  </si>
  <si>
    <t>科技</t>
  </si>
  <si>
    <t>TSLL</t>
  </si>
  <si>
    <t>QQQ</t>
  </si>
  <si>
    <t>大盤</t>
  </si>
  <si>
    <t>VOO</t>
  </si>
  <si>
    <t>NVDA</t>
  </si>
  <si>
    <t>RDDT</t>
  </si>
  <si>
    <t>COST</t>
  </si>
  <si>
    <t>必須消費</t>
  </si>
  <si>
    <t>今日損益率</t>
  </si>
  <si>
    <t>PLTR</t>
  </si>
  <si>
    <t>QLD</t>
  </si>
  <si>
    <t>GOOGL</t>
  </si>
  <si>
    <t>AGGU.SW</t>
  </si>
  <si>
    <t>債券</t>
  </si>
  <si>
    <t>ORCL</t>
  </si>
  <si>
    <t>AAPL</t>
  </si>
  <si>
    <t>AMZN</t>
  </si>
  <si>
    <t>meta</t>
  </si>
  <si>
    <t>FBTC</t>
  </si>
  <si>
    <t>虛擬貨幣</t>
  </si>
  <si>
    <t>MCD</t>
  </si>
  <si>
    <t>LFWD</t>
  </si>
  <si>
    <t>ABNB</t>
  </si>
  <si>
    <t>TSLZ</t>
  </si>
  <si>
    <t>1432</t>
  </si>
  <si>
    <t>006208</t>
  </si>
  <si>
    <t>009800</t>
  </si>
  <si>
    <t>2330</t>
  </si>
  <si>
    <t>0050</t>
  </si>
  <si>
    <t>時間</t>
  </si>
  <si>
    <t>買賣別</t>
  </si>
  <si>
    <t>卷商</t>
  </si>
  <si>
    <t>數量</t>
  </si>
  <si>
    <t>成交價格</t>
  </si>
  <si>
    <t>台幣交割</t>
  </si>
  <si>
    <t>成本(USD)</t>
  </si>
  <si>
    <t>第 1 欄</t>
  </si>
  <si>
    <t>美金</t>
  </si>
  <si>
    <t>台幣</t>
  </si>
  <si>
    <t>補貼</t>
  </si>
  <si>
    <t>匯率</t>
  </si>
  <si>
    <t>持股數</t>
  </si>
  <si>
    <t>每股股息</t>
  </si>
  <si>
    <t>股息金額</t>
  </si>
  <si>
    <t>手續費</t>
  </si>
  <si>
    <t>淨股利</t>
  </si>
  <si>
    <t>買進</t>
  </si>
  <si>
    <t>00878</t>
  </si>
  <si>
    <t xml:space="preserve">current </t>
  </si>
  <si>
    <t>gain</t>
  </si>
  <si>
    <t>賣出</t>
  </si>
  <si>
    <t>firstrade</t>
  </si>
  <si>
    <t>O</t>
  </si>
  <si>
    <t>INTC</t>
  </si>
  <si>
    <t>BRK-B</t>
  </si>
  <si>
    <t>GRAB</t>
  </si>
  <si>
    <t>KPOP</t>
  </si>
  <si>
    <t>V</t>
  </si>
  <si>
    <t>IWY</t>
  </si>
  <si>
    <t>Cost</t>
  </si>
  <si>
    <t>GLD</t>
  </si>
  <si>
    <t>kpop</t>
  </si>
  <si>
    <t>0205/3/31 AM 12:00:00</t>
  </si>
  <si>
    <t>證卷</t>
  </si>
  <si>
    <t>成交數量</t>
  </si>
  <si>
    <t>平均價格</t>
  </si>
  <si>
    <t>市值(台幣)</t>
  </si>
  <si>
    <t>總成本(USD)</t>
  </si>
  <si>
    <t>總成本(TWD)</t>
  </si>
  <si>
    <t>損益(台幣)</t>
  </si>
  <si>
    <t>USD</t>
  </si>
  <si>
    <t>TWD</t>
  </si>
  <si>
    <t>淨損益</t>
  </si>
  <si>
    <t>時間戳記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</si>
</sst>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NT$-404]#,##0.00"/>
    <numFmt numFmtId="165" formatCode="yyyy/M/d"/>
    <numFmt numFmtId="166" formatCode="yyyy/mm/dd"/>
    <numFmt numFmtId="167" formatCode="yyyy/M/d am/pm h:mm:ss"/>
    <numFmt numFmtId="168" formatCode="0.000000"/>
    <numFmt numFmtId="169" formatCode="yyyy/m"/>
    <numFmt numFmtId="170" formatCode="m/d/yyyy h:mm:ss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3.0"/>
      <color theme="1"/>
      <name val="Arial"/>
      <scheme val="minor"/>
    </font>
    <font>
      <b/>
      <sz val="15.0"/>
      <color rgb="FF000000"/>
      <name val="Arial"/>
      <scheme val="minor"/>
    </font>
    <font>
      <sz val="14.0"/>
      <color rgb="FF000000"/>
      <name val="Arial"/>
      <scheme val="minor"/>
    </font>
    <font>
      <sz val="15.0"/>
      <color theme="1"/>
      <name val="Arial"/>
      <scheme val="minor"/>
    </font>
    <font>
      <b/>
      <sz val="13.0"/>
      <color rgb="FF000000"/>
      <name val="Arial"/>
      <scheme val="minor"/>
    </font>
    <font>
      <sz val="13.0"/>
      <color theme="1"/>
      <name val="Arial"/>
      <scheme val="minor"/>
    </font>
    <font>
      <b/>
      <sz val="14.0"/>
      <color rgb="FF000000"/>
      <name val="Arial"/>
      <scheme val="minor"/>
    </font>
    <font>
      <b/>
      <sz val="15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5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rgb="FF454545"/>
      <name val="Lato"/>
    </font>
    <font>
      <sz val="11.0"/>
      <color rgb="FF454545"/>
      <name val="Lato"/>
    </font>
    <font>
      <color rgb="FF434343"/>
      <name val="Roboto"/>
    </font>
    <font>
      <color rgb="FFFFCFC9"/>
      <name val="Roboto"/>
    </font>
    <font>
      <color rgb="FFBFE0F6"/>
      <name val="Roboto"/>
    </font>
    <font>
      <sz val="9.0"/>
      <color rgb="FF454545"/>
      <name val="Lato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5" numFmtId="2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3" xfId="0" applyAlignment="1" applyBorder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4" xfId="0" applyAlignment="1" applyFont="1" applyNumberFormat="1">
      <alignment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0" fontId="7" numFmtId="2" xfId="0" applyAlignment="1" applyFont="1" applyNumberFormat="1">
      <alignment shrinkToFit="0" vertical="center" wrapText="0"/>
    </xf>
    <xf borderId="0" fillId="0" fontId="7" numFmtId="10" xfId="0" applyAlignment="1" applyFont="1" applyNumberFormat="1">
      <alignment shrinkToFit="0" vertical="center" wrapText="0"/>
    </xf>
    <xf borderId="0" fillId="0" fontId="8" numFmtId="2" xfId="0" applyAlignment="1" applyFont="1" applyNumberFormat="1">
      <alignment shrinkToFit="0" vertical="center" wrapText="0"/>
    </xf>
    <xf borderId="0" fillId="0" fontId="8" numFmtId="1" xfId="0" applyAlignment="1" applyFont="1" applyNumberFormat="1">
      <alignment shrinkToFit="0" vertical="center" wrapText="0"/>
    </xf>
    <xf borderId="0" fillId="0" fontId="9" numFmtId="2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2" xfId="0" applyAlignment="1" applyFont="1" applyNumberFormat="1">
      <alignment shrinkToFit="0" vertical="center" wrapText="0"/>
    </xf>
    <xf borderId="0" fillId="0" fontId="12" numFmtId="1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2" fillId="0" fontId="1" numFmtId="165" xfId="0" applyAlignment="1" applyBorder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left"/>
    </xf>
    <xf borderId="0" fillId="0" fontId="1" numFmtId="1" xfId="0" applyFont="1" applyNumberFormat="1"/>
    <xf borderId="1" fillId="0" fontId="2" numFmtId="1" xfId="0" applyBorder="1" applyFont="1" applyNumberFormat="1"/>
    <xf borderId="0" fillId="0" fontId="11" numFmtId="2" xfId="0" applyFont="1" applyNumberFormat="1"/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3" fillId="0" fontId="13" numFmtId="0" xfId="0" applyAlignment="1" applyBorder="1" applyFont="1">
      <alignment horizontal="center" readingOrder="0"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6" fillId="0" fontId="13" numFmtId="0" xfId="0" applyAlignment="1" applyBorder="1" applyFont="1">
      <alignment horizontal="center"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2" fillId="0" fontId="1" numFmtId="1" xfId="0" applyAlignment="1" applyBorder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7" fillId="0" fontId="1" numFmtId="10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2" fillId="0" fontId="1" numFmtId="1" xfId="0" applyAlignment="1" applyBorder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7" fillId="0" fontId="1" numFmtId="10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 shrinkToFit="0" vertical="center" wrapText="0"/>
    </xf>
    <xf borderId="1" fillId="0" fontId="1" numFmtId="0" xfId="0" applyBorder="1" applyFont="1"/>
    <xf borderId="7" fillId="0" fontId="1" numFmtId="0" xfId="0" applyBorder="1" applyFont="1"/>
    <xf borderId="2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/>
    </xf>
    <xf borderId="0" fillId="0" fontId="14" numFmtId="2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12" fillId="2" fontId="14" numFmtId="0" xfId="0" applyAlignment="1" applyBorder="1" applyFill="1" applyFont="1">
      <alignment horizontal="center" readingOrder="0"/>
    </xf>
    <xf borderId="12" fillId="3" fontId="1" numFmtId="0" xfId="0" applyBorder="1" applyFill="1" applyFont="1"/>
    <xf borderId="12" fillId="4" fontId="14" numFmtId="2" xfId="0" applyAlignment="1" applyBorder="1" applyFill="1" applyFont="1" applyNumberFormat="1">
      <alignment horizontal="center"/>
    </xf>
    <xf borderId="12" fillId="2" fontId="14" numFmtId="2" xfId="0" applyAlignment="1" applyBorder="1" applyFont="1" applyNumberFormat="1">
      <alignment horizontal="center"/>
    </xf>
    <xf borderId="12" fillId="2" fontId="14" numFmtId="10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3" numFmtId="0" xfId="0" applyAlignment="1" applyFont="1">
      <alignment readingOrder="0"/>
    </xf>
    <xf borderId="0" fillId="0" fontId="1" numFmtId="2" xfId="0" applyFont="1" applyNumberFormat="1"/>
    <xf borderId="0" fillId="0" fontId="13" numFmtId="0" xfId="0" applyFont="1"/>
    <xf borderId="0" fillId="0" fontId="13" numFmtId="0" xfId="0" applyAlignment="1" applyFont="1">
      <alignment horizontal="center"/>
    </xf>
    <xf borderId="0" fillId="0" fontId="1" numFmtId="10" xfId="0" applyFont="1" applyNumberFormat="1"/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3" fillId="0" fontId="14" numFmtId="0" xfId="0" applyAlignment="1" applyBorder="1" applyFont="1">
      <alignment horizontal="center" readingOrder="0"/>
    </xf>
    <xf borderId="14" fillId="0" fontId="14" numFmtId="2" xfId="0" applyAlignment="1" applyBorder="1" applyFont="1" applyNumberFormat="1">
      <alignment horizontal="center"/>
    </xf>
    <xf borderId="14" fillId="0" fontId="14" numFmtId="10" xfId="0" applyAlignment="1" applyBorder="1" applyFont="1" applyNumberFormat="1">
      <alignment horizontal="center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Font="1" applyNumberFormat="1"/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4" fontId="15" numFmtId="0" xfId="0" applyAlignment="1" applyFont="1">
      <alignment horizontal="right" readingOrder="0" shrinkToFit="0" vertical="center" wrapText="0"/>
    </xf>
    <xf borderId="0" fillId="4" fontId="15" numFmtId="0" xfId="0" applyAlignment="1" applyFont="1">
      <alignment horizontal="right" readingOrder="0" shrinkToFit="0" vertical="top" wrapText="0"/>
    </xf>
    <xf borderId="0" fillId="4" fontId="16" numFmtId="0" xfId="0" applyAlignment="1" applyFont="1">
      <alignment readingOrder="0" shrinkToFit="0" vertical="center" wrapText="0"/>
    </xf>
    <xf borderId="0" fillId="4" fontId="15" numFmtId="4" xfId="0" applyAlignment="1" applyFont="1" applyNumberFormat="1">
      <alignment horizontal="right" readingOrder="0" shrinkToFit="0" vertical="center" wrapText="0"/>
    </xf>
    <xf borderId="0" fillId="4" fontId="15" numFmtId="4" xfId="0" applyAlignment="1" applyFont="1" applyNumberFormat="1">
      <alignment horizontal="right" readingOrder="0" shrinkToFit="0" vertical="center" wrapText="0"/>
    </xf>
    <xf borderId="0" fillId="0" fontId="1" numFmtId="168" xfId="0" applyFont="1" applyNumberFormat="1"/>
    <xf borderId="0" fillId="5" fontId="17" numFmtId="0" xfId="0" applyAlignment="1" applyFill="1" applyFont="1">
      <alignment horizontal="center" readingOrder="0" shrinkToFit="0" vertical="center" wrapText="0"/>
    </xf>
    <xf borderId="0" fillId="5" fontId="17" numFmtId="0" xfId="0" applyAlignment="1" applyFont="1">
      <alignment horizontal="right" readingOrder="0" shrinkToFit="0" vertical="center" wrapText="0"/>
    </xf>
    <xf borderId="15" fillId="5" fontId="18" numFmtId="0" xfId="0" applyAlignment="1" applyBorder="1" applyFont="1">
      <alignment horizontal="center" shrinkToFit="0" vertical="center" wrapText="0"/>
    </xf>
    <xf borderId="15" fillId="5" fontId="19" numFmtId="0" xfId="0" applyAlignment="1" applyBorder="1" applyFont="1">
      <alignment horizontal="center" shrinkToFit="0" vertical="center" wrapText="0"/>
    </xf>
    <xf borderId="0" fillId="5" fontId="18" numFmtId="0" xfId="0" applyAlignment="1" applyFont="1">
      <alignment horizontal="center" shrinkToFit="0" vertical="center" wrapText="0"/>
    </xf>
    <xf borderId="0" fillId="5" fontId="19" numFmtId="0" xfId="0" applyAlignment="1" applyFont="1">
      <alignment horizontal="center" shrinkToFit="0" vertical="center" wrapText="0"/>
    </xf>
    <xf borderId="0" fillId="5" fontId="18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horizontal="center" readingOrder="0" shrinkToFit="0" vertical="center" wrapText="0"/>
    </xf>
    <xf borderId="0" fillId="4" fontId="15" numFmtId="0" xfId="0" applyAlignment="1" applyFont="1">
      <alignment horizontal="right" readingOrder="0" shrinkToFit="0" vertical="top" wrapText="0"/>
    </xf>
    <xf borderId="0" fillId="4" fontId="15" numFmtId="0" xfId="0" applyAlignment="1" applyFont="1">
      <alignment horizontal="right" shrinkToFit="0" vertical="top" wrapText="0"/>
    </xf>
    <xf borderId="0" fillId="4" fontId="15" numFmtId="0" xfId="0" applyAlignment="1" applyFont="1">
      <alignment horizontal="right" vertical="top"/>
    </xf>
    <xf borderId="0" fillId="4" fontId="16" numFmtId="0" xfId="0" applyAlignment="1" applyFont="1">
      <alignment readingOrder="0" shrinkToFit="0" vertical="center" wrapText="0"/>
    </xf>
    <xf borderId="0" fillId="4" fontId="15" numFmtId="0" xfId="0" applyAlignment="1" applyFont="1">
      <alignment horizontal="right" shrinkToFit="0" vertical="top" wrapText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20" numFmtId="0" xfId="0" applyAlignment="1" applyFont="1">
      <alignment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3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right" readingOrder="0" shrinkToFit="0" vertical="center" wrapText="0"/>
    </xf>
    <xf borderId="0" fillId="0" fontId="13" numFmtId="165" xfId="0" applyAlignment="1" applyFont="1" applyNumberForma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1" numFmtId="4" xfId="0" applyAlignment="1" applyFont="1" applyNumberFormat="1">
      <alignment shrinkToFit="0" vertical="center" wrapText="0"/>
    </xf>
    <xf borderId="0" fillId="0" fontId="11" numFmtId="3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21" numFmtId="4" xfId="0" applyAlignment="1" applyFont="1" applyNumberFormat="1">
      <alignment shrinkToFit="0" vertical="center" wrapText="0"/>
    </xf>
    <xf borderId="0" fillId="0" fontId="21" numFmtId="3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21" numFmtId="10" xfId="0" applyAlignment="1" applyFont="1" applyNumberFormat="1">
      <alignment shrinkToFit="0" vertical="center" wrapText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7">
    <dxf>
      <font>
        <color rgb="FF34A853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  <dxf>
      <font>
        <color rgb="FF34A853"/>
      </font>
      <fill>
        <patternFill patternType="none"/>
      </fill>
      <border/>
    </dxf>
    <dxf>
      <font>
        <color rgb="FF6AA84F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color rgb="FF00FF0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15">
    <tableStyle count="4" pivot="0" name="總計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總計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總計-style 3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總計-style 4">
      <tableStyleElement dxfId="4" type="firstRowStripe"/>
      <tableStyleElement dxfId="5" type="secondRowStripe"/>
    </tableStyle>
    <tableStyle count="4" pivot="0" name="record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美股庫存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台股庫存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美股購買-style">
      <tableStyleElement dxfId="3" type="headerRow"/>
      <tableStyleElement dxfId="4" type="firstRowStripe"/>
      <tableStyleElement dxfId="12" type="secondRowStripe"/>
      <tableStyleElement dxfId="6" size="0" type="wholeTable"/>
    </tableStyle>
    <tableStyle count="4" pivot="0" name="美股購買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美股購買-style 3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台股購買-style">
      <tableStyleElement dxfId="3" type="headerRow"/>
      <tableStyleElement dxfId="4" type="firstRowStripe"/>
      <tableStyleElement dxfId="12" type="secondRowStripe"/>
      <tableStyleElement dxfId="6" size="0" type="wholeTable"/>
    </tableStyle>
    <tableStyle count="4" pivot="0" name="台股購買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美股已實現損益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5" pivot="0" name="美股已實現損益-style 2">
      <tableStyleElement dxfId="3" type="headerRow"/>
      <tableStyleElement dxfId="4" type="firstRowStripe"/>
      <tableStyleElement dxfId="5" type="secondRowStripe"/>
      <tableStyleElement dxfId="15" type="totalRow"/>
      <tableStyleElement dxfId="6" size="0" type="wholeTable"/>
    </tableStyle>
    <tableStyle count="4" pivot="0" name="台股表單回應-style">
      <tableStyleElement dxfId="16" type="headerRow"/>
      <tableStyleElement dxfId="4" type="firstRowStripe"/>
      <tableStyleElement dxfId="12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股票標的配置</a:t>
            </a:r>
          </a:p>
        </c:rich>
      </c:tx>
      <c:layout>
        <c:manualLayout>
          <c:xMode val="edge"/>
          <c:yMode val="edge"/>
          <c:x val="0.02425"/>
          <c:y val="0.4834050718429833"/>
        </c:manualLayout>
      </c:layout>
      <c:overlay val="0"/>
    </c:title>
    <c:plotArea>
      <c:layout>
        <c:manualLayout>
          <c:xMode val="edge"/>
          <c:yMode val="edge"/>
          <c:x val="0.03091666666666667"/>
          <c:y val="0.0968104222821204"/>
          <c:w val="0.9381666666666671"/>
          <c:h val="0.8127583108715181"/>
        </c:manualLayout>
      </c:layout>
      <c:doughnutChart>
        <c:varyColors val="1"/>
        <c:ser>
          <c:idx val="0"/>
          <c:order val="0"/>
          <c:tx>
            <c:strRef>
              <c:f>'總計'!$Y$1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'總計'!$Q$2:$Q$1000</c:f>
            </c:strRef>
          </c:cat>
          <c:val>
            <c:numRef>
              <c:f>'總計'!$Y$2:$Y$1000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股市配置</a:t>
            </a:r>
          </a:p>
        </c:rich>
      </c:tx>
      <c:layout>
        <c:manualLayout>
          <c:xMode val="edge"/>
          <c:yMode val="edge"/>
          <c:x val="0.03258333333333333"/>
          <c:y val="0.47587601078167124"/>
        </c:manualLayout>
      </c:layout>
      <c:overlay val="0"/>
    </c:title>
    <c:plotArea>
      <c:layout>
        <c:manualLayout>
          <c:xMode val="edge"/>
          <c:yMode val="edge"/>
          <c:x val="0.03091666666666667"/>
          <c:y val="0.09681042228212039"/>
          <c:w val="0.9381666666666671"/>
          <c:h val="0.812758310871518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'總計'!$I$1:$I$4</c:f>
            </c:strRef>
          </c:cat>
          <c:val>
            <c:numRef>
              <c:f>'總計'!$J$1:$J$3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銀行配置</a:t>
            </a:r>
          </a:p>
        </c:rich>
      </c:tx>
      <c:layout>
        <c:manualLayout>
          <c:xMode val="edge"/>
          <c:yMode val="edge"/>
          <c:x val="0.03091666666666667"/>
          <c:y val="0.47048517520215644"/>
        </c:manualLayout>
      </c:layout>
      <c:overlay val="0"/>
    </c:title>
    <c:plotArea>
      <c:layout>
        <c:manualLayout>
          <c:xMode val="edge"/>
          <c:yMode val="edge"/>
          <c:x val="0.03091666666666667"/>
          <c:y val="0.09681042228212039"/>
          <c:w val="0.9381666666666671"/>
          <c:h val="0.812758310871518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'總計'!$AD$1:$AM$1</c:f>
            </c:strRef>
          </c:cat>
          <c:val>
            <c:numRef>
              <c:f>'總計'!$AD$10:$AM$10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總財產配置</a:t>
            </a:r>
          </a:p>
        </c:rich>
      </c:tx>
      <c:layout>
        <c:manualLayout>
          <c:xMode val="edge"/>
          <c:yMode val="edge"/>
          <c:x val="0.03425"/>
          <c:y val="0.4704851752021564"/>
        </c:manualLayout>
      </c:layout>
      <c:overlay val="0"/>
    </c:title>
    <c:plotArea>
      <c:layout>
        <c:manualLayout>
          <c:xMode val="edge"/>
          <c:yMode val="edge"/>
          <c:x val="0.03091666666666667"/>
          <c:y val="0.09681042228212039"/>
          <c:w val="0.9381666666666671"/>
          <c:h val="0.812758310871518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'總計'!$AQ$1:$AS$1</c:f>
            </c:strRef>
          </c:cat>
          <c:val>
            <c:numRef>
              <c:f>'總計'!$AQ$10:$AS$10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銀行配置變化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'總計'!$AD$1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'總計'!$AD$2:$AD$17</c:f>
              <c:numCache/>
            </c:numRef>
          </c:val>
          <c:smooth val="0"/>
        </c:ser>
        <c:ser>
          <c:idx val="1"/>
          <c:order val="1"/>
          <c:tx>
            <c:strRef>
              <c:f>'總計'!$AE$1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'總計'!$AE$2:$AE$17</c:f>
              <c:numCache/>
            </c:numRef>
          </c:val>
          <c:smooth val="0"/>
        </c:ser>
        <c:ser>
          <c:idx val="2"/>
          <c:order val="2"/>
          <c:tx>
            <c:strRef>
              <c:f>'總計'!$AF$1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'總計'!$AF$2:$AF$17</c:f>
              <c:numCache/>
            </c:numRef>
          </c:val>
          <c:smooth val="0"/>
        </c:ser>
        <c:ser>
          <c:idx val="3"/>
          <c:order val="3"/>
          <c:tx>
            <c:strRef>
              <c:f>'總計'!$AG$1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'總計'!$AG$2:$AG$17</c:f>
              <c:numCache/>
            </c:numRef>
          </c:val>
          <c:smooth val="0"/>
        </c:ser>
        <c:ser>
          <c:idx val="4"/>
          <c:order val="4"/>
          <c:tx>
            <c:strRef>
              <c:f>'總計'!$AH$1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'總計'!$AH$2:$AH$17</c:f>
              <c:numCache/>
            </c:numRef>
          </c:val>
          <c:smooth val="0"/>
        </c:ser>
        <c:ser>
          <c:idx val="5"/>
          <c:order val="5"/>
          <c:tx>
            <c:strRef>
              <c:f>'總計'!$AI$1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'總計'!$AI$2:$AI$17</c:f>
              <c:numCache/>
            </c:numRef>
          </c:val>
          <c:smooth val="0"/>
        </c:ser>
        <c:ser>
          <c:idx val="6"/>
          <c:order val="6"/>
          <c:tx>
            <c:strRef>
              <c:f>'總計'!$AJ$1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'總計'!$AJ$2:$AJ$17</c:f>
              <c:numCache/>
            </c:numRef>
          </c:val>
          <c:smooth val="0"/>
        </c:ser>
        <c:ser>
          <c:idx val="7"/>
          <c:order val="7"/>
          <c:tx>
            <c:strRef>
              <c:f>'總計'!$AK$1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'總計'!$AK$2:$AK$17</c:f>
              <c:numCache/>
            </c:numRef>
          </c:val>
          <c:smooth val="0"/>
        </c:ser>
        <c:ser>
          <c:idx val="8"/>
          <c:order val="8"/>
          <c:tx>
            <c:strRef>
              <c:f>'總計'!$AL$1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'總計'!$AL$2:$AL$17</c:f>
              <c:numCache/>
            </c:numRef>
          </c:val>
          <c:smooth val="0"/>
        </c:ser>
        <c:ser>
          <c:idx val="9"/>
          <c:order val="9"/>
          <c:tx>
            <c:strRef>
              <c:f>'總計'!$AM$1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'總計'!$AM$2:$AM$17</c:f>
              <c:numCache/>
            </c:numRef>
          </c:val>
          <c:smooth val="0"/>
        </c:ser>
        <c:axId val="289905738"/>
        <c:axId val="2048177973"/>
      </c:lineChart>
      <c:catAx>
        <c:axId val="28990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銀行名稱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177973"/>
      </c:catAx>
      <c:valAx>
        <c:axId val="2048177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2025/2/15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905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股票標的配置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'總計'!$Q$1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'總計'!$Y$1</c:f>
            </c:strRef>
          </c:cat>
          <c:val>
            <c:numRef>
              <c:f>'總計'!$Y$1</c:f>
              <c:numCache/>
            </c:numRef>
          </c:val>
        </c:ser>
        <c:overlap val="100"/>
        <c:axId val="843662242"/>
        <c:axId val="686452262"/>
      </c:barChart>
      <c:catAx>
        <c:axId val="8436622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452262"/>
      </c:catAx>
      <c:valAx>
        <c:axId val="686452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662242"/>
        <c:crosses val="max"/>
      </c:valAx>
    </c:plotArea>
    <c:legend>
      <c:legendPos val="b"/>
      <c:overlay val="0"/>
      <c:txPr>
        <a:bodyPr/>
        <a:lstStyle/>
        <a:p>
          <a:pPr lvl="0">
            <a:defRPr b="0" i="1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總水位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'總計'!$AP$1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'總計'!$AC$2:$AC$17</c:f>
            </c:strRef>
          </c:cat>
          <c:val>
            <c:numRef>
              <c:f>'總計'!$AP$2:$AP$17</c:f>
              <c:numCache/>
            </c:numRef>
          </c:val>
          <c:smooth val="0"/>
        </c:ser>
        <c:axId val="453441807"/>
        <c:axId val="1618862422"/>
      </c:lineChart>
      <c:catAx>
        <c:axId val="45344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862422"/>
      </c:catAx>
      <c:valAx>
        <c:axId val="1618862422"/>
        <c:scaling>
          <c:orientation val="minMax"/>
          <c:min val="18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441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美股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record!$J$1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record!$J$2:$J$997</c:f>
              <c:numCache/>
            </c:numRef>
          </c:val>
          <c:smooth val="0"/>
        </c:ser>
        <c:ser>
          <c:idx val="1"/>
          <c:order val="1"/>
          <c:tx>
            <c:strRef>
              <c:f>record!$K$1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record!$K$2:$K$997</c:f>
              <c:numCache/>
            </c:numRef>
          </c:val>
          <c:smooth val="0"/>
        </c:ser>
        <c:axId val="294102308"/>
        <c:axId val="1154597186"/>
      </c:lineChart>
      <c:catAx>
        <c:axId val="294102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4597186"/>
      </c:catAx>
      <c:valAx>
        <c:axId val="1154597186"/>
        <c:scaling>
          <c:orientation val="minMax"/>
          <c:min val="1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102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台股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record!$B$1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record!$B$2:$B$997</c:f>
              <c:numCache/>
            </c:numRef>
          </c:val>
          <c:smooth val="0"/>
        </c:ser>
        <c:ser>
          <c:idx val="1"/>
          <c:order val="1"/>
          <c:tx>
            <c:strRef>
              <c:f>record!$C$1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record!$C$2:$C$997</c:f>
              <c:numCache/>
            </c:numRef>
          </c:val>
          <c:smooth val="0"/>
        </c:ser>
        <c:axId val="1106197227"/>
        <c:axId val="1297417645"/>
      </c:lineChart>
      <c:catAx>
        <c:axId val="1106197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7417645"/>
      </c:catAx>
      <c:valAx>
        <c:axId val="1297417645"/>
        <c:scaling>
          <c:orientation val="minMax"/>
          <c:min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197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總計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record!$N$1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record!$N$2:$N$997</c:f>
              <c:numCache/>
            </c:numRef>
          </c:val>
          <c:smooth val="0"/>
        </c:ser>
        <c:ser>
          <c:idx val="1"/>
          <c:order val="1"/>
          <c:tx>
            <c:strRef>
              <c:f>record!$O$1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record!$O$2:$O$997</c:f>
              <c:numCache/>
            </c:numRef>
          </c:val>
          <c:smooth val="0"/>
        </c:ser>
        <c:axId val="271207414"/>
        <c:axId val="1555371832"/>
      </c:lineChart>
      <c:catAx>
        <c:axId val="271207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5371832"/>
      </c:catAx>
      <c:valAx>
        <c:axId val="1555371832"/>
        <c:scaling>
          <c:orientation val="minMax"/>
          <c:min val="6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207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總計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record!$E$1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record!$E$2:$E$997</c:f>
              <c:numCache/>
            </c:numRef>
          </c:val>
          <c:smooth val="0"/>
        </c:ser>
        <c:ser>
          <c:idx val="1"/>
          <c:order val="1"/>
          <c:tx>
            <c:strRef>
              <c:f>record!$I$1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record!$I$2:$I$997</c:f>
              <c:numCache/>
            </c:numRef>
          </c:val>
          <c:smooth val="0"/>
        </c:ser>
        <c:ser>
          <c:idx val="2"/>
          <c:order val="2"/>
          <c:tx>
            <c:strRef>
              <c:f>record!$M$1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record!$M$2:$M$997</c:f>
              <c:numCache/>
            </c:numRef>
          </c:val>
          <c:smooth val="0"/>
        </c:ser>
        <c:ser>
          <c:idx val="3"/>
          <c:order val="3"/>
          <c:tx>
            <c:strRef>
              <c:f>record!$Q$1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record!$A$2:$A$997</c:f>
            </c:strRef>
          </c:cat>
          <c:val>
            <c:numRef>
              <c:f>record!$Q$2:$Q$997</c:f>
              <c:numCache/>
            </c:numRef>
          </c:val>
          <c:smooth val="0"/>
        </c:ser>
        <c:axId val="1944016140"/>
        <c:axId val="565840039"/>
      </c:lineChart>
      <c:catAx>
        <c:axId val="1944016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5840039"/>
      </c:catAx>
      <c:valAx>
        <c:axId val="565840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016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'美股庫存'!$I$1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'美股庫存'!$A$2:$A$999</c:f>
            </c:strRef>
          </c:cat>
          <c:val>
            <c:numRef>
              <c:f>'美股庫存'!$I$2:$I$999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'美股庫存'!$A$1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'美股庫存'!$I$1</c:f>
            </c:strRef>
          </c:cat>
          <c:val>
            <c:numRef>
              <c:f>'美股庫存'!$I$1</c:f>
              <c:numCache/>
            </c:numRef>
          </c:val>
        </c:ser>
        <c:overlap val="100"/>
        <c:axId val="1581900610"/>
        <c:axId val="559094247"/>
      </c:barChart>
      <c:catAx>
        <c:axId val="15819006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59094247"/>
      </c:catAx>
      <c:valAx>
        <c:axId val="5590942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9006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'美股庫存'!$AA$6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Pt>
            <c:idx val="3"/>
            <c:spPr>
              <a:solidFill>
                <a:srgbClr val="9FC5E8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'美股庫存'!$Z$7:$Z$13</c:f>
            </c:strRef>
          </c:cat>
          <c:val>
            <c:numRef>
              <c:f>'美股庫存'!$AA$7:$AA$13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'台股庫存'!$H$1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'台股庫存'!$A$2:$A$1000</c:f>
            </c:strRef>
          </c:cat>
          <c:val>
            <c:numRef>
              <c:f>'台股庫存'!$H$2:$H$1000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38100</xdr:rowOff>
    </xdr:from>
    <xdr:ext cx="14325600" cy="885825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38100</xdr:rowOff>
    </xdr:from>
    <xdr:ext cx="5715000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200025</xdr:colOff>
      <xdr:row>37</xdr:row>
      <xdr:rowOff>66675</xdr:rowOff>
    </xdr:from>
    <xdr:ext cx="5715000" cy="353377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904875</xdr:colOff>
      <xdr:row>37</xdr:row>
      <xdr:rowOff>66675</xdr:rowOff>
    </xdr:from>
    <xdr:ext cx="5715000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27</xdr:col>
      <xdr:colOff>942975</xdr:colOff>
      <xdr:row>17</xdr:row>
      <xdr:rowOff>238125</xdr:rowOff>
    </xdr:from>
    <xdr:ext cx="13020675" cy="8048625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200025</xdr:rowOff>
    </xdr:from>
    <xdr:ext cx="19611975" cy="895350"/>
    <xdr:graphicFrame>
      <xdr:nvGraphicFramePr>
        <xdr:cNvPr id="6" name="Chart 6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39</xdr:col>
      <xdr:colOff>419100</xdr:colOff>
      <xdr:row>17</xdr:row>
      <xdr:rowOff>238125</xdr:rowOff>
    </xdr:from>
    <xdr:ext cx="6858000" cy="4248150"/>
    <xdr:graphicFrame>
      <xdr:nvGraphicFramePr>
        <xdr:cNvPr id="7" name="Chart 7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1</xdr:row>
      <xdr:rowOff>0</xdr:rowOff>
    </xdr:from>
    <xdr:ext cx="8620125" cy="3533775"/>
    <xdr:graphicFrame>
      <xdr:nvGraphicFramePr>
        <xdr:cNvPr id="8" name="Chart 8" title="美股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19050</xdr:colOff>
      <xdr:row>14</xdr:row>
      <xdr:rowOff>85725</xdr:rowOff>
    </xdr:from>
    <xdr:ext cx="8620125" cy="3533775"/>
    <xdr:graphicFrame>
      <xdr:nvGraphicFramePr>
        <xdr:cNvPr id="9" name="Chart 9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19050</xdr:colOff>
      <xdr:row>31</xdr:row>
      <xdr:rowOff>57150</xdr:rowOff>
    </xdr:from>
    <xdr:ext cx="8620125" cy="3533775"/>
    <xdr:graphicFrame>
      <xdr:nvGraphicFramePr>
        <xdr:cNvPr id="10" name="Chart 10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19050</xdr:colOff>
      <xdr:row>43</xdr:row>
      <xdr:rowOff>161925</xdr:rowOff>
    </xdr:from>
    <xdr:ext cx="8696325" cy="5581650"/>
    <xdr:graphicFrame>
      <xdr:nvGraphicFramePr>
        <xdr:cNvPr id="11" name="Chart 1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781050</xdr:colOff>
      <xdr:row>12</xdr:row>
      <xdr:rowOff>123825</xdr:rowOff>
    </xdr:from>
    <xdr:ext cx="3019425" cy="533400"/>
    <xdr:sp>
      <xdr:nvSpPr>
        <xdr:cNvPr id="3" name="Shape 3"/>
        <xdr:cNvSpPr txBox="1"/>
      </xdr:nvSpPr>
      <xdr:spPr>
        <a:xfrm>
          <a:off x="2822000" y="1611150"/>
          <a:ext cx="3002100" cy="50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紀錄數據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952500</xdr:colOff>
      <xdr:row>4</xdr:row>
      <xdr:rowOff>276225</xdr:rowOff>
    </xdr:from>
    <xdr:ext cx="5715000" cy="3533775"/>
    <xdr:graphicFrame>
      <xdr:nvGraphicFramePr>
        <xdr:cNvPr id="12" name="Chart 1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952500</xdr:colOff>
      <xdr:row>1</xdr:row>
      <xdr:rowOff>57150</xdr:rowOff>
    </xdr:from>
    <xdr:ext cx="10553700" cy="590550"/>
    <xdr:graphicFrame>
      <xdr:nvGraphicFramePr>
        <xdr:cNvPr id="13" name="Chart 1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952500</xdr:colOff>
      <xdr:row>17</xdr:row>
      <xdr:rowOff>95250</xdr:rowOff>
    </xdr:from>
    <xdr:ext cx="5715000" cy="3533775"/>
    <xdr:graphicFrame>
      <xdr:nvGraphicFramePr>
        <xdr:cNvPr id="14" name="Chart 1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152400</xdr:colOff>
      <xdr:row>18</xdr:row>
      <xdr:rowOff>152400</xdr:rowOff>
    </xdr:from>
    <xdr:ext cx="5781675" cy="419100"/>
    <xdr:sp>
      <xdr:nvSpPr>
        <xdr:cNvPr id="4" name="Shape 4"/>
        <xdr:cNvSpPr txBox="1"/>
      </xdr:nvSpPr>
      <xdr:spPr>
        <a:xfrm>
          <a:off x="3522500" y="1411000"/>
          <a:ext cx="57642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733425</xdr:colOff>
      <xdr:row>1</xdr:row>
      <xdr:rowOff>76200</xdr:rowOff>
    </xdr:from>
    <xdr:ext cx="5715000" cy="3533775"/>
    <xdr:graphicFrame>
      <xdr:nvGraphicFramePr>
        <xdr:cNvPr id="15" name="Chart 1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1:M6" displayName="財產配置" name="財產配置" id="1">
  <tableColumns count="5">
    <tableColumn name="財產配置" id="1"/>
    <tableColumn name="市值" id="2"/>
    <tableColumn name="成本" id="3"/>
    <tableColumn name="損益" id="4"/>
    <tableColumn name="損益率" id="5"/>
  </tableColumns>
  <tableStyleInfo name="總計-style" showColumnStripes="0" showFirstColumn="1" showLastColumn="1" showRowStripes="1"/>
</table>
</file>

<file path=xl/tables/table2.xml><?xml version="1.0" encoding="utf-8"?>
<table xmlns="http://schemas.openxmlformats.org/spreadsheetml/2006/main" ref="Q1:Y50" displayName="總艙位" name="總艙位" id="2">
  <tableColumns count="9">
    <tableColumn name="股票代號" id="1"/>
    <tableColumn name="股票名稱" id="2"/>
    <tableColumn name="成本" id="3"/>
    <tableColumn name="現價" id="4"/>
    <tableColumn name="持有股數" id="5"/>
    <tableColumn name="損益" id="6"/>
    <tableColumn name="損益率" id="7"/>
    <tableColumn name="總投資成本" id="8"/>
    <tableColumn name="市值" id="9"/>
  </tableColumns>
  <tableStyleInfo name="總計-style 2" showColumnStripes="0" showFirstColumn="1" showLastColumn="1" showRowStripes="1"/>
</table>
</file>

<file path=xl/tables/table3.xml><?xml version="1.0" encoding="utf-8"?>
<table xmlns="http://schemas.openxmlformats.org/spreadsheetml/2006/main" ref="AC1:AU17" displayName="銀行資產配置" name="銀行資產配置" id="3">
  <tableColumns count="19">
    <tableColumn name="日期" id="1"/>
    <tableColumn name="郵局" id="2"/>
    <tableColumn name="中國信託" id="3"/>
    <tableColumn name="富邦" id="4"/>
    <tableColumn name="富邦外幣" id="5"/>
    <tableColumn name="富邦證卷" id="6"/>
    <tableColumn name="富邦證卷複委託" id="7"/>
    <tableColumn name="國泰" id="8"/>
    <tableColumn name="line bank" id="9"/>
    <tableColumn name="firstrade-cash(TWD)" id="10"/>
    <tableColumn name="firstrade-position(TWD)" id="11"/>
    <tableColumn name="firstrade-cash(USD)" id="12"/>
    <tableColumn name="firstrade-position(USD)" id="13"/>
    <tableColumn name="加總" id="14"/>
    <tableColumn name="現金" id="15"/>
    <tableColumn name="台股" id="16"/>
    <tableColumn name="美股" id="17"/>
    <tableColumn name="變化" id="18"/>
    <tableColumn name="變化每日" id="19"/>
  </tableColumns>
  <tableStyleInfo name="總計-style 3" showColumnStripes="0" showFirstColumn="1" showLastColumn="1" showRowStripes="1"/>
</table>
</file>

<file path=xl/tables/table4.xml><?xml version="1.0" encoding="utf-8"?>
<table xmlns="http://schemas.openxmlformats.org/spreadsheetml/2006/main" headerRowCount="0" ref="AT21:AU22" displayName="Table_1" name="Table_1" id="4">
  <tableColumns count="2">
    <tableColumn name="Column1" id="1"/>
    <tableColumn name="Column2" id="2"/>
  </tableColumns>
  <tableStyleInfo name="總計-style 4" showColumnStripes="0" showFirstColumn="1" showLastColumn="1" showRowStripes="1"/>
</table>
</file>

<file path=xl/tables/table5.xml><?xml version="1.0" encoding="utf-8"?>
<table xmlns="http://schemas.openxmlformats.org/spreadsheetml/2006/main" ref="A1:Q191" displayName="歷史紀錄" name="歷史紀錄" id="5">
  <tableColumns count="17">
    <tableColumn name="日期" id="1"/>
    <tableColumn name="台股市值" id="2"/>
    <tableColumn name="台股成本" id="3"/>
    <tableColumn name="台股損益" id="4"/>
    <tableColumn name="台股損益率" id="5"/>
    <tableColumn name="美股(TWD) 市值" id="6"/>
    <tableColumn name="美股(TWD) 成本" id="7"/>
    <tableColumn name="美股(TWD) 損益" id="8"/>
    <tableColumn name="美股(TWD) 損益率" id="9"/>
    <tableColumn name="美股(USD) 市值" id="10"/>
    <tableColumn name="美股(USD) 成本" id="11"/>
    <tableColumn name="美股(USD) 損益" id="12"/>
    <tableColumn name="美股(USD) 損益率" id="13"/>
    <tableColumn name="總市值" id="14"/>
    <tableColumn name="總成本" id="15"/>
    <tableColumn name="總損益" id="16"/>
    <tableColumn name="總損益率" id="17"/>
  </tableColumns>
  <tableStyleInfo name="record-style" showColumnStripes="0" showFirstColumn="1" showLastColumn="1" showRowStripes="1"/>
</table>
</file>

<file path=xl/tables/table6.xml><?xml version="1.0" encoding="utf-8"?>
<table xmlns="http://schemas.openxmlformats.org/spreadsheetml/2006/main" ref="A1:N24" displayName="庫存" name="庫存" id="6">
  <tableColumns count="14">
    <tableColumn name="股票代號" id="1"/>
    <tableColumn name="股票名稱" id="2"/>
    <tableColumn name="平均成本" id="3"/>
    <tableColumn name="現價" id="4"/>
    <tableColumn name="持有股數" id="5"/>
    <tableColumn name="損益" id="6"/>
    <tableColumn name="損益率" id="7"/>
    <tableColumn name="總投資成本" id="8"/>
    <tableColumn name="市值(USD)" id="9"/>
    <tableColumn name="成本(TWD)" id="10"/>
    <tableColumn name="今日走勢$" id="11"/>
    <tableColumn name="今日走勢" id="12"/>
    <tableColumn name="今日損益" id="13"/>
    <tableColumn name="股票類別" id="14"/>
  </tableColumns>
  <tableStyleInfo name="美股庫存-style" showColumnStripes="0" showFirstColumn="1" showLastColumn="1" showRowStripes="1"/>
</table>
</file>

<file path=xl/tables/table7.xml><?xml version="1.0" encoding="utf-8"?>
<table xmlns="http://schemas.openxmlformats.org/spreadsheetml/2006/main" ref="A1:I6" displayName="庫存_2" name="庫存_2" id="7">
  <tableColumns count="9">
    <tableColumn name="股票代號" id="1"/>
    <tableColumn name="股票名稱" id="2"/>
    <tableColumn name="成本" id="3"/>
    <tableColumn name="現價" id="4"/>
    <tableColumn name="持有股數" id="5"/>
    <tableColumn name="損益" id="6"/>
    <tableColumn name="損益率" id="7"/>
    <tableColumn name="總投資成本" id="8"/>
    <tableColumn name="市值" id="9"/>
  </tableColumns>
  <tableStyleInfo name="台股庫存-style" showColumnStripes="0" showFirstColumn="1" showLastColumn="1" showRowStripes="1"/>
</table>
</file>

<file path=xl/tables/table8.xml><?xml version="1.0" encoding="utf-8"?>
<table xmlns="http://schemas.openxmlformats.org/spreadsheetml/2006/main" ref="A1:J123" displayName="表_1" name="表_1" id="8">
  <tableColumns count="10">
    <tableColumn name="時間" id="1"/>
    <tableColumn name="買賣別" id="2"/>
    <tableColumn name="卷商" id="3"/>
    <tableColumn name="股票代號" id="4"/>
    <tableColumn name="數量" id="5"/>
    <tableColumn name="成交價格" id="6"/>
    <tableColumn name="市值" id="7"/>
    <tableColumn name="台幣交割" id="8"/>
    <tableColumn name="成本(USD)" id="9"/>
    <tableColumn name="成本(TWD)" id="10"/>
  </tableColumns>
  <tableStyleInfo name="美股購買-style" showColumnStripes="0" showFirstColumn="1" showLastColumn="1" showRowStripes="1"/>
</table>
</file>

<file path=xl/tables/table9.xml><?xml version="1.0" encoding="utf-8"?>
<table xmlns="http://schemas.openxmlformats.org/spreadsheetml/2006/main" ref="M1:Q5" displayName="匯款紀錄" name="匯款紀錄" id="9">
  <tableColumns count="5">
    <tableColumn name="時間" id="1"/>
    <tableColumn name="美金" id="2"/>
    <tableColumn name="台幣" id="3"/>
    <tableColumn name="補貼" id="4"/>
    <tableColumn name="匯率" id="5"/>
  </tableColumns>
  <tableStyleInfo name="美股購買-style 2" showColumnStripes="0" showFirstColumn="1" showLastColumn="1" showRowStripes="1"/>
</table>
</file>

<file path=xl/tables/table10.xml><?xml version="1.0" encoding="utf-8"?>
<table xmlns="http://schemas.openxmlformats.org/spreadsheetml/2006/main" ref="T1:Z2" displayName="美股股息" name="美股股息" id="10">
  <tableColumns count="7">
    <tableColumn name="時間" id="1"/>
    <tableColumn name="股票代號" id="2"/>
    <tableColumn name="持股數" id="3"/>
    <tableColumn name="每股股息" id="4"/>
    <tableColumn name="股息金額" id="5"/>
    <tableColumn name="手續費" id="6"/>
    <tableColumn name="淨股利" id="7"/>
  </tableColumns>
  <tableStyleInfo name="美股購買-style 3" showColumnStripes="0" showFirstColumn="1" showLastColumn="1" showRowStripes="1"/>
</table>
</file>

<file path=xl/tables/table11.xml><?xml version="1.0" encoding="utf-8"?>
<table xmlns="http://schemas.openxmlformats.org/spreadsheetml/2006/main" ref="A1:H28" displayName="表" name="表" id="11">
  <tableColumns count="8">
    <tableColumn name="時間" id="1"/>
    <tableColumn name="買賣別" id="2"/>
    <tableColumn name="股票代號" id="3"/>
    <tableColumn name="數量" id="4"/>
    <tableColumn name="成交價格" id="5"/>
    <tableColumn name="市值" id="6"/>
    <tableColumn name="手續費" id="7"/>
    <tableColumn name="成本" id="8"/>
  </tableColumns>
  <tableStyleInfo name="台股購買-style" showColumnStripes="0" showFirstColumn="1" showLastColumn="1" showRowStripes="1"/>
</table>
</file>

<file path=xl/tables/table12.xml><?xml version="1.0" encoding="utf-8"?>
<table xmlns="http://schemas.openxmlformats.org/spreadsheetml/2006/main" ref="L1:R2" displayName="股息" name="股息" id="12">
  <tableColumns count="7">
    <tableColumn name="時間" id="1"/>
    <tableColumn name="股票代號" id="2"/>
    <tableColumn name="持股數" id="3"/>
    <tableColumn name="每股股息" id="4"/>
    <tableColumn name="股息金額" id="5"/>
    <tableColumn name="手續費" id="6"/>
    <tableColumn name="淨股利" id="7"/>
  </tableColumns>
  <tableStyleInfo name="台股購買-style 2" showColumnStripes="0" showFirstColumn="1" showLastColumn="1" showRowStripes="1"/>
</table>
</file>

<file path=xl/tables/table13.xml><?xml version="1.0" encoding="utf-8"?>
<table xmlns="http://schemas.openxmlformats.org/spreadsheetml/2006/main" ref="A1:N1000" displayName="美股已實現損益" name="美股已實現損益" id="13">
  <tableColumns count="14">
    <tableColumn name="時間" id="1"/>
    <tableColumn name="買賣別" id="2"/>
    <tableColumn name="證卷" id="3"/>
    <tableColumn name="股票代號" id="4"/>
    <tableColumn name="成交數量" id="5"/>
    <tableColumn name="平均價格" id="6"/>
    <tableColumn name="市值" id="7"/>
    <tableColumn name="市值(台幣)" id="8"/>
    <tableColumn name="總成本(USD)" id="9"/>
    <tableColumn name="總成本(TWD)" id="10"/>
    <tableColumn name="損益" id="11"/>
    <tableColumn name="損益(台幣)" id="12"/>
    <tableColumn name="損益率" id="13"/>
    <tableColumn name="匯率" id="14"/>
  </tableColumns>
  <tableStyleInfo name="美股已實現損益-style" showColumnStripes="0" showFirstColumn="1" showLastColumn="1" showRowStripes="1"/>
</table>
</file>

<file path=xl/tables/table14.xml><?xml version="1.0" encoding="utf-8"?>
<table xmlns="http://schemas.openxmlformats.org/spreadsheetml/2006/main" totalsRowCount="1" ref="U3:W7" displayName="表_2" name="表_2" id="14">
  <tableColumns count="3">
    <tableColumn totalsRowLabel="損益率" name="第 1 欄" id="1"/>
    <tableColumn totalsRowFunction="custom" name="USD" id="2"/>
    <tableColumn totalsRowFunction="custom" name="TWD" id="3"/>
  </tableColumns>
  <tableStyleInfo name="美股已實現損益-style 2" showColumnStripes="0" showFirstColumn="1" showLastColumn="1" showRowStripes="1"/>
</table>
</file>

<file path=xl/tables/table15.xml><?xml version="1.0" encoding="utf-8"?>
<table xmlns="http://schemas.openxmlformats.org/spreadsheetml/2006/main" ref="A1:H3" displayName="Form_Responses1" name="Form_Responses1" id="15">
  <tableColumns count="8">
    <tableColumn name="時間戳記" id="1"/>
    <tableColumn name="時間" id="2"/>
    <tableColumn name="買賣別" id="3"/>
    <tableColumn name="股票代號" id="4"/>
    <tableColumn name="數量" id="5"/>
    <tableColumn name="成交價格" id="6"/>
    <tableColumn name="手續費" id="7"/>
    <tableColumn name="市值" id="8"/>
  </tableColumns>
  <tableStyleInfo name="台股表單回應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4.13"/>
    <col customWidth="1" min="10" max="10" width="16.0"/>
    <col customWidth="1" min="11" max="11" width="16.25"/>
    <col customWidth="1" min="12" max="12" width="17.88"/>
    <col customWidth="1" min="13" max="13" width="15.38"/>
    <col customWidth="1" min="18" max="18" width="17.5"/>
    <col customWidth="1" min="24" max="24" width="13.88"/>
    <col customWidth="1" min="29" max="29" width="15.13"/>
    <col customWidth="1" min="30" max="30" width="13.38"/>
    <col customWidth="1" min="35" max="35" width="17.25"/>
    <col customWidth="1" min="38" max="38" width="21.88"/>
    <col customWidth="1" min="39" max="39" width="21.63"/>
    <col customWidth="1" min="40" max="40" width="19.0"/>
    <col customWidth="1" min="41" max="41" width="21.38"/>
    <col customWidth="1" min="42" max="42" width="19.88"/>
  </cols>
  <sheetData>
    <row r="1" ht="22.5" customHeight="1">
      <c r="I1" s="1" t="s">
        <v>0</v>
      </c>
      <c r="J1" s="1" t="s">
        <v>1</v>
      </c>
      <c r="K1" s="1" t="s">
        <v>2</v>
      </c>
      <c r="L1" s="1" t="s">
        <v>3</v>
      </c>
      <c r="M1" s="2" t="s">
        <v>4</v>
      </c>
      <c r="Q1" s="2" t="s">
        <v>5</v>
      </c>
      <c r="R1" s="2" t="s">
        <v>6</v>
      </c>
      <c r="S1" s="2" t="s">
        <v>2</v>
      </c>
      <c r="T1" s="2" t="s">
        <v>7</v>
      </c>
      <c r="U1" s="2" t="s">
        <v>8</v>
      </c>
      <c r="V1" s="2" t="s">
        <v>3</v>
      </c>
      <c r="W1" s="2" t="s">
        <v>4</v>
      </c>
      <c r="X1" s="2" t="s">
        <v>9</v>
      </c>
      <c r="Y1" s="2" t="s">
        <v>1</v>
      </c>
      <c r="AC1" s="2" t="s">
        <v>10</v>
      </c>
      <c r="AD1" s="3" t="s">
        <v>11</v>
      </c>
      <c r="AE1" s="2" t="s">
        <v>12</v>
      </c>
      <c r="AF1" s="2" t="s">
        <v>13</v>
      </c>
      <c r="AG1" s="2" t="s">
        <v>14</v>
      </c>
      <c r="AH1" s="2" t="s">
        <v>15</v>
      </c>
      <c r="AI1" s="2" t="s">
        <v>16</v>
      </c>
      <c r="AJ1" s="2" t="s">
        <v>17</v>
      </c>
      <c r="AK1" s="2" t="s">
        <v>18</v>
      </c>
      <c r="AL1" s="2" t="s">
        <v>19</v>
      </c>
      <c r="AM1" s="2" t="s">
        <v>20</v>
      </c>
      <c r="AN1" s="2" t="s">
        <v>21</v>
      </c>
      <c r="AO1" s="2" t="s">
        <v>22</v>
      </c>
      <c r="AP1" s="4" t="s">
        <v>23</v>
      </c>
      <c r="AQ1" s="5" t="s">
        <v>24</v>
      </c>
      <c r="AR1" s="5" t="s">
        <v>25</v>
      </c>
      <c r="AS1" s="5" t="s">
        <v>26</v>
      </c>
      <c r="AT1" s="5" t="s">
        <v>27</v>
      </c>
      <c r="AU1" s="5" t="s">
        <v>28</v>
      </c>
    </row>
    <row r="2" ht="22.5" customHeight="1">
      <c r="I2" s="6" t="s">
        <v>25</v>
      </c>
      <c r="J2" s="7">
        <f>sum('台股庫存'!K1)</f>
        <v>299509.45</v>
      </c>
      <c r="K2" s="8">
        <f>'台股庫存'!M1</f>
        <v>240415.82</v>
      </c>
      <c r="L2" s="9">
        <f t="shared" ref="L2:L5" si="1">J2-K2</f>
        <v>59093.63</v>
      </c>
      <c r="M2" s="10">
        <f t="shared" ref="M2:M5" si="2">L2/K2</f>
        <v>0.2457975935</v>
      </c>
      <c r="Q2" s="11" t="str">
        <f>IFERROR(__xludf.DUMMYFUNCTION("{ FILTER({ '美股庫存'!A2:B1000, '美股庫存'!C2:D1000 * J6, '美股庫存'!E2:G1000, '美股庫存'!H2:I1000 * J6 }, '美股庫存'!A2:A1000&lt;&gt;""""); FILTER('台股庫存'!A2:I1000, '台股庫存'!A2:A1000&lt;&gt;"""") }"),"TSLA")</f>
        <v>TSLA</v>
      </c>
      <c r="R2" s="11" t="str">
        <f>IFERROR(__xludf.DUMMYFUNCTION("""COMPUTED_VALUE"""),"Tesla, Inc.")</f>
        <v>Tesla, Inc.</v>
      </c>
      <c r="S2" s="11">
        <f>IFERROR(__xludf.DUMMYFUNCTION("""COMPUTED_VALUE"""),9131.35471257973)</f>
        <v>9131.354713</v>
      </c>
      <c r="T2" s="11">
        <f>IFERROR(__xludf.DUMMYFUNCTION("""COMPUTED_VALUE"""),12617.819670000003)</f>
        <v>12617.81967</v>
      </c>
      <c r="U2" s="12">
        <f>IFERROR(__xludf.DUMMYFUNCTION("""COMPUTED_VALUE"""),18.5)</f>
        <v>18.5</v>
      </c>
      <c r="V2" s="13">
        <f>IFERROR(__xludf.DUMMYFUNCTION("""COMPUTED_VALUE"""),2065.110675000001)</f>
        <v>2065.110675</v>
      </c>
      <c r="W2" s="14">
        <f>IFERROR(__xludf.DUMMYFUNCTION("""COMPUTED_VALUE"""),0.38181245468617864)</f>
        <v>0.3818124547</v>
      </c>
      <c r="X2" s="11">
        <f>IFERROR(__xludf.DUMMYFUNCTION("""COMPUTED_VALUE"""),168930.062182725)</f>
        <v>168930.0622</v>
      </c>
      <c r="Y2" s="11">
        <f>IFERROR(__xludf.DUMMYFUNCTION("""COMPUTED_VALUE"""),233429.66389500003)</f>
        <v>233429.6639</v>
      </c>
      <c r="AC2" s="15">
        <v>45703.0</v>
      </c>
      <c r="AD2" s="16">
        <v>890970.0</v>
      </c>
      <c r="AE2" s="17">
        <v>248170.0</v>
      </c>
      <c r="AF2" s="17">
        <v>339611.0</v>
      </c>
      <c r="AG2" s="17">
        <v>9946.0</v>
      </c>
      <c r="AH2" s="17">
        <v>100769.0</v>
      </c>
      <c r="AI2" s="17">
        <v>119874.0</v>
      </c>
      <c r="AJ2" s="17">
        <v>0.0</v>
      </c>
      <c r="AK2" s="17">
        <v>199851.0</v>
      </c>
      <c r="AL2" s="11">
        <v>215029.408165496</v>
      </c>
      <c r="AM2" s="11">
        <v>284454.04440545995</v>
      </c>
      <c r="AN2" s="17">
        <v>6575.18</v>
      </c>
      <c r="AO2" s="17">
        <v>8698.05</v>
      </c>
      <c r="AP2" s="18">
        <f t="shared" ref="AP2:AP17" si="3">sum(AD2:AM2)</f>
        <v>2408674.453</v>
      </c>
      <c r="AQ2" s="19">
        <f t="shared" ref="AQ2:AQ17" si="4">sum(AD2:AG2)+sum(AJ2:AL2)</f>
        <v>1903577.408</v>
      </c>
      <c r="AR2" s="20">
        <f t="shared" ref="AR2:AR17" si="5">AH2</f>
        <v>100769</v>
      </c>
      <c r="AS2" s="20">
        <f t="shared" ref="AS2:AS17" si="6">AI2+AM2</f>
        <v>404328.0444</v>
      </c>
      <c r="AT2" s="20" t="str">
        <f t="shared" ref="AT2:AT17" si="7">AP2-AP1</f>
        <v>#VALUE!</v>
      </c>
      <c r="AU2" s="20" t="str">
        <f t="shared" ref="AU2:AU17" si="8">AT2/(AC2-AC1)</f>
        <v>#VALUE!</v>
      </c>
    </row>
    <row r="3" ht="22.5" customHeight="1">
      <c r="I3" s="6" t="s">
        <v>29</v>
      </c>
      <c r="J3" s="7">
        <f>J4*J6</f>
        <v>1308607.121</v>
      </c>
      <c r="K3" s="8">
        <f>sum('美股庫存'!J:J)</f>
        <v>1111114.85</v>
      </c>
      <c r="L3" s="9">
        <f t="shared" si="1"/>
        <v>197492.2705</v>
      </c>
      <c r="M3" s="10">
        <f t="shared" si="2"/>
        <v>0.1777424453</v>
      </c>
      <c r="Q3" s="11" t="str">
        <f>IFERROR(__xludf.DUMMYFUNCTION("""COMPUTED_VALUE"""),"TSLL")</f>
        <v>TSLL</v>
      </c>
      <c r="R3" s="21" t="str">
        <f>IFERROR(__xludf.DUMMYFUNCTION("""COMPUTED_VALUE"""),"Direxion Daily TSLA Bull 2X Shares")</f>
        <v>Direxion Daily TSLA Bull 2X Shares</v>
      </c>
      <c r="S3" s="11">
        <f>IFERROR(__xludf.DUMMYFUNCTION("""COMPUTED_VALUE"""),352.6999273163264)</f>
        <v>352.6999273</v>
      </c>
      <c r="T3" s="11">
        <f>IFERROR(__xludf.DUMMYFUNCTION("""COMPUTED_VALUE"""),515.6568300000001)</f>
        <v>515.65683</v>
      </c>
      <c r="U3" s="12">
        <f>IFERROR(__xludf.DUMMYFUNCTION("""COMPUTED_VALUE"""),98.0)</f>
        <v>98</v>
      </c>
      <c r="V3" s="13">
        <f>IFERROR(__xludf.DUMMYFUNCTION("""COMPUTED_VALUE"""),511.31100000000083)</f>
        <v>511.311</v>
      </c>
      <c r="W3" s="14">
        <f>IFERROR(__xludf.DUMMYFUNCTION("""COMPUTED_VALUE"""),0.4620270378948006)</f>
        <v>0.4620270379</v>
      </c>
      <c r="X3" s="11">
        <f>IFERROR(__xludf.DUMMYFUNCTION("""COMPUTED_VALUE"""),34564.59287699999)</f>
        <v>34564.59288</v>
      </c>
      <c r="Y3" s="11">
        <f>IFERROR(__xludf.DUMMYFUNCTION("""COMPUTED_VALUE"""),50534.36934000001)</f>
        <v>50534.36934</v>
      </c>
      <c r="AC3" s="15">
        <v>45715.0</v>
      </c>
      <c r="AD3" s="16">
        <v>764438.0</v>
      </c>
      <c r="AE3" s="22">
        <v>257372.0</v>
      </c>
      <c r="AF3" s="22">
        <v>184668.0</v>
      </c>
      <c r="AG3" s="22">
        <v>9950.0</v>
      </c>
      <c r="AH3" s="22">
        <v>143052.0</v>
      </c>
      <c r="AI3" s="22">
        <v>145552.0</v>
      </c>
      <c r="AJ3" s="22">
        <v>5419.0</v>
      </c>
      <c r="AK3" s="22">
        <v>0.0</v>
      </c>
      <c r="AL3" s="20">
        <v>227881.90125204995</v>
      </c>
      <c r="AM3" s="20">
        <v>576375.651435645</v>
      </c>
      <c r="AN3" s="23">
        <v>6946.9</v>
      </c>
      <c r="AO3" s="23">
        <v>17570.61</v>
      </c>
      <c r="AP3" s="18">
        <f t="shared" si="3"/>
        <v>2314708.553</v>
      </c>
      <c r="AQ3" s="19">
        <f t="shared" si="4"/>
        <v>1449728.901</v>
      </c>
      <c r="AR3" s="20">
        <f t="shared" si="5"/>
        <v>143052</v>
      </c>
      <c r="AS3" s="20">
        <f t="shared" si="6"/>
        <v>721927.6514</v>
      </c>
      <c r="AT3" s="19">
        <f t="shared" si="7"/>
        <v>-93965.89988</v>
      </c>
      <c r="AU3" s="20">
        <f t="shared" si="8"/>
        <v>-7830.491657</v>
      </c>
    </row>
    <row r="4" ht="22.5" customHeight="1">
      <c r="I4" s="24" t="s">
        <v>30</v>
      </c>
      <c r="J4" s="25">
        <f>sum('美股庫存'!I:I)+'美股已實現損益'!V6</f>
        <v>41898.2205</v>
      </c>
      <c r="K4" s="26">
        <f>sum('美股庫存'!H:H)</f>
        <v>33937.57377</v>
      </c>
      <c r="L4" s="27">
        <f t="shared" si="1"/>
        <v>7960.646733</v>
      </c>
      <c r="M4" s="28">
        <f t="shared" si="2"/>
        <v>0.2345673497</v>
      </c>
      <c r="Q4" s="11" t="str">
        <f>IFERROR(__xludf.DUMMYFUNCTION("""COMPUTED_VALUE"""),"QQQ")</f>
        <v>QQQ</v>
      </c>
      <c r="R4" s="11" t="str">
        <f>IFERROR(__xludf.DUMMYFUNCTION("""COMPUTED_VALUE"""),"Invesco QQQ Trust")</f>
        <v>Invesco QQQ Trust</v>
      </c>
      <c r="S4" s="11">
        <f>IFERROR(__xludf.DUMMYFUNCTION("""COMPUTED_VALUE"""),16242.29242439295)</f>
        <v>16242.29242</v>
      </c>
      <c r="T4" s="11">
        <f>IFERROR(__xludf.DUMMYFUNCTION("""COMPUTED_VALUE"""),18735.73971)</f>
        <v>18735.73971</v>
      </c>
      <c r="U4" s="12">
        <f>IFERROR(__xludf.DUMMYFUNCTION("""COMPUTED_VALUE"""),11.007950000000001)</f>
        <v>11.00795</v>
      </c>
      <c r="V4" s="13">
        <f>IFERROR(__xludf.DUMMYFUNCTION("""COMPUTED_VALUE"""),878.8058479044003)</f>
        <v>878.8058479</v>
      </c>
      <c r="W4" s="14">
        <f>IFERROR(__xludf.DUMMYFUNCTION("""COMPUTED_VALUE"""),0.15351572428669916)</f>
        <v>0.1535157243</v>
      </c>
      <c r="X4" s="11">
        <f>IFERROR(__xludf.DUMMYFUNCTION("""COMPUTED_VALUE"""),178794.34289309641)</f>
        <v>178794.3429</v>
      </c>
      <c r="Y4" s="11">
        <f>IFERROR(__xludf.DUMMYFUNCTION("""COMPUTED_VALUE"""),206242.08594069455)</f>
        <v>206242.0859</v>
      </c>
      <c r="AC4" s="15">
        <v>45735.0</v>
      </c>
      <c r="AD4" s="16">
        <v>523937.0</v>
      </c>
      <c r="AE4" s="22">
        <v>194589.0</v>
      </c>
      <c r="AF4" s="22">
        <v>131746.0</v>
      </c>
      <c r="AG4" s="22">
        <v>0.0</v>
      </c>
      <c r="AH4" s="22">
        <v>185018.0</v>
      </c>
      <c r="AI4" s="22">
        <v>128955.0</v>
      </c>
      <c r="AJ4" s="22">
        <v>25352.0</v>
      </c>
      <c r="AK4" s="22">
        <v>0.0</v>
      </c>
      <c r="AL4" s="20">
        <v>94371.47965376999</v>
      </c>
      <c r="AM4" s="20">
        <v>792693.004646834</v>
      </c>
      <c r="AN4" s="22">
        <v>2856.15</v>
      </c>
      <c r="AO4" s="23">
        <v>23990.83</v>
      </c>
      <c r="AP4" s="18">
        <f t="shared" si="3"/>
        <v>2076661.484</v>
      </c>
      <c r="AQ4" s="19">
        <f t="shared" si="4"/>
        <v>969995.4797</v>
      </c>
      <c r="AR4" s="20">
        <f t="shared" si="5"/>
        <v>185018</v>
      </c>
      <c r="AS4" s="20">
        <f t="shared" si="6"/>
        <v>921648.0046</v>
      </c>
      <c r="AT4" s="19">
        <f t="shared" si="7"/>
        <v>-238047.0684</v>
      </c>
      <c r="AU4" s="20">
        <f t="shared" si="8"/>
        <v>-11902.35342</v>
      </c>
    </row>
    <row r="5" ht="22.5" customHeight="1">
      <c r="I5" s="6" t="s">
        <v>23</v>
      </c>
      <c r="J5" s="29">
        <f t="shared" ref="J5:K5" si="9">SUM(J2:J3)</f>
        <v>1608116.571</v>
      </c>
      <c r="K5" s="30">
        <f t="shared" si="9"/>
        <v>1351530.67</v>
      </c>
      <c r="L5" s="31">
        <f t="shared" si="1"/>
        <v>256585.9005</v>
      </c>
      <c r="M5" s="32">
        <f t="shared" si="2"/>
        <v>0.1898483743</v>
      </c>
      <c r="Q5" s="11" t="str">
        <f>IFERROR(__xludf.DUMMYFUNCTION("""COMPUTED_VALUE"""),"VOO")</f>
        <v>VOO</v>
      </c>
      <c r="R5" s="11" t="str">
        <f>IFERROR(__xludf.DUMMYFUNCTION("""COMPUTED_VALUE"""),"Vanguard S&amp;P 500 ETF")</f>
        <v>Vanguard S&amp;P 500 ETF</v>
      </c>
      <c r="S5" s="11">
        <f>IFERROR(__xludf.DUMMYFUNCTION("""COMPUTED_VALUE"""),16977.58739915609)</f>
        <v>16977.5874</v>
      </c>
      <c r="T5" s="11">
        <f>IFERROR(__xludf.DUMMYFUNCTION("""COMPUTED_VALUE"""),19027.143600000003)</f>
        <v>19027.1436</v>
      </c>
      <c r="U5" s="12">
        <f>IFERROR(__xludf.DUMMYFUNCTION("""COMPUTED_VALUE"""),7.0642700000000005)</f>
        <v>7.06427</v>
      </c>
      <c r="V5" s="13">
        <f>IFERROR(__xludf.DUMMYFUNCTION("""COMPUTED_VALUE"""),463.56796922920057)</f>
        <v>463.5679692</v>
      </c>
      <c r="W5" s="14">
        <f>IFERROR(__xludf.DUMMYFUNCTION("""COMPUTED_VALUE"""),0.12072128699191911)</f>
        <v>0.120721287</v>
      </c>
      <c r="X5" s="11">
        <f>IFERROR(__xludf.DUMMYFUNCTION("""COMPUTED_VALUE"""),119934.2613362364)</f>
        <v>119934.2613</v>
      </c>
      <c r="Y5" s="11">
        <f>IFERROR(__xludf.DUMMYFUNCTION("""COMPUTED_VALUE"""),134412.87971917202)</f>
        <v>134412.8797</v>
      </c>
      <c r="AC5" s="15">
        <v>45766.0</v>
      </c>
      <c r="AD5" s="16">
        <v>494438.0</v>
      </c>
      <c r="AE5" s="22">
        <v>179653.0</v>
      </c>
      <c r="AF5" s="22">
        <v>81328.0</v>
      </c>
      <c r="AG5" s="22">
        <v>0.0</v>
      </c>
      <c r="AH5" s="22">
        <v>217199.0</v>
      </c>
      <c r="AI5" s="22">
        <v>83115.0</v>
      </c>
      <c r="AJ5" s="22">
        <v>23070.0</v>
      </c>
      <c r="AK5" s="22">
        <v>0.0</v>
      </c>
      <c r="AL5" s="20">
        <v>803.99328</v>
      </c>
      <c r="AM5" s="20">
        <v>836809.02028</v>
      </c>
      <c r="AN5" s="22">
        <v>24.72</v>
      </c>
      <c r="AO5" s="22">
        <v>25728.97</v>
      </c>
      <c r="AP5" s="18">
        <f t="shared" si="3"/>
        <v>1916416.014</v>
      </c>
      <c r="AQ5" s="19">
        <f t="shared" si="4"/>
        <v>779292.9933</v>
      </c>
      <c r="AR5" s="20">
        <f t="shared" si="5"/>
        <v>217199</v>
      </c>
      <c r="AS5" s="20">
        <f t="shared" si="6"/>
        <v>919924.0203</v>
      </c>
      <c r="AT5" s="19">
        <f t="shared" si="7"/>
        <v>-160245.4707</v>
      </c>
      <c r="AU5" s="20">
        <f t="shared" si="8"/>
        <v>-5169.208734</v>
      </c>
    </row>
    <row r="6" ht="22.5" customHeight="1">
      <c r="I6" s="33" t="s">
        <v>31</v>
      </c>
      <c r="J6" s="34">
        <f>IFERROR(__xludf.DUMMYFUNCTION("GOOGLEFINANCE(""CURRENCY:USDTWD"")"),31.233000000000004)</f>
        <v>31.233</v>
      </c>
      <c r="K6" s="35"/>
      <c r="L6" s="9"/>
      <c r="M6" s="10"/>
      <c r="Q6" s="11" t="str">
        <f>IFERROR(__xludf.DUMMYFUNCTION("""COMPUTED_VALUE"""),"NVDA")</f>
        <v>NVDA</v>
      </c>
      <c r="R6" s="11" t="str">
        <f>IFERROR(__xludf.DUMMYFUNCTION("""COMPUTED_VALUE"""),"NVIDIA Corporation")</f>
        <v>NVIDIA Corporation</v>
      </c>
      <c r="S6" s="11">
        <f>IFERROR(__xludf.DUMMYFUNCTION("""COMPUTED_VALUE"""),4404.9127173176485)</f>
        <v>4404.912717</v>
      </c>
      <c r="T6" s="11">
        <f>IFERROR(__xludf.DUMMYFUNCTION("""COMPUTED_VALUE"""),5825.579160000001)</f>
        <v>5825.57916</v>
      </c>
      <c r="U6" s="12">
        <f>IFERROR(__xludf.DUMMYFUNCTION("""COMPUTED_VALUE"""),17.0)</f>
        <v>17</v>
      </c>
      <c r="V6" s="13">
        <f>IFERROR(__xludf.DUMMYFUNCTION("""COMPUTED_VALUE"""),773.2631999999994)</f>
        <v>773.2632</v>
      </c>
      <c r="W6" s="14">
        <f>IFERROR(__xludf.DUMMYFUNCTION("""COMPUTED_VALUE"""),0.3225186363164672)</f>
        <v>0.3225186363</v>
      </c>
      <c r="X6" s="11">
        <f>IFERROR(__xludf.DUMMYFUNCTION("""COMPUTED_VALUE"""),74883.51619440003)</f>
        <v>74883.51619</v>
      </c>
      <c r="Y6" s="11">
        <f>IFERROR(__xludf.DUMMYFUNCTION("""COMPUTED_VALUE"""),99034.84572000001)</f>
        <v>99034.84572</v>
      </c>
      <c r="AC6" s="15">
        <v>45798.0</v>
      </c>
      <c r="AD6" s="16">
        <v>469501.0</v>
      </c>
      <c r="AE6" s="22">
        <v>139590.0</v>
      </c>
      <c r="AF6" s="22">
        <v>69118.0</v>
      </c>
      <c r="AG6" s="22">
        <v>0.0</v>
      </c>
      <c r="AH6" s="22">
        <v>241770.0</v>
      </c>
      <c r="AI6" s="22">
        <v>136359.0</v>
      </c>
      <c r="AJ6" s="22">
        <v>5887.0</v>
      </c>
      <c r="AK6" s="22">
        <v>0.0</v>
      </c>
      <c r="AL6" s="11">
        <v>10524.925043776</v>
      </c>
      <c r="AM6" s="11">
        <v>929172.429409216</v>
      </c>
      <c r="AN6" s="22">
        <v>348.92</v>
      </c>
      <c r="AO6" s="22">
        <v>30803.72</v>
      </c>
      <c r="AP6" s="18">
        <f t="shared" si="3"/>
        <v>2001922.354</v>
      </c>
      <c r="AQ6" s="19">
        <f t="shared" si="4"/>
        <v>694620.925</v>
      </c>
      <c r="AR6" s="20">
        <f t="shared" si="5"/>
        <v>241770</v>
      </c>
      <c r="AS6" s="20">
        <f t="shared" si="6"/>
        <v>1065531.429</v>
      </c>
      <c r="AT6" s="19">
        <f t="shared" si="7"/>
        <v>85506.34089</v>
      </c>
      <c r="AU6" s="20">
        <f t="shared" si="8"/>
        <v>2672.073153</v>
      </c>
    </row>
    <row r="7" ht="22.5" customHeight="1">
      <c r="Q7" s="11" t="str">
        <f>IFERROR(__xludf.DUMMYFUNCTION("""COMPUTED_VALUE"""),"RDDT")</f>
        <v>RDDT</v>
      </c>
      <c r="R7" s="11" t="str">
        <f>IFERROR(__xludf.DUMMYFUNCTION("""COMPUTED_VALUE"""),"Reddit, Inc.")</f>
        <v>Reddit, Inc.</v>
      </c>
      <c r="S7" s="11">
        <f>IFERROR(__xludf.DUMMYFUNCTION("""COMPUTED_VALUE"""),4862.7274945780255)</f>
        <v>4862.727495</v>
      </c>
      <c r="T7" s="11">
        <f>IFERROR(__xludf.DUMMYFUNCTION("""COMPUTED_VALUE"""),5864.932740000001)</f>
        <v>5864.93274</v>
      </c>
      <c r="U7" s="12">
        <f>IFERROR(__xludf.DUMMYFUNCTION("""COMPUTED_VALUE"""),13.875820000000001)</f>
        <v>13.87582</v>
      </c>
      <c r="V7" s="13">
        <f>IFERROR(__xludf.DUMMYFUNCTION("""COMPUTED_VALUE"""),445.24764155)</f>
        <v>445.2476416</v>
      </c>
      <c r="W7" s="14">
        <f>IFERROR(__xludf.DUMMYFUNCTION("""COMPUTED_VALUE"""),0.2060994054343865)</f>
        <v>0.2060994054</v>
      </c>
      <c r="X7" s="11">
        <f>IFERROR(__xludf.DUMMYFUNCTION("""COMPUTED_VALUE"""),67474.33142381567)</f>
        <v>67474.33142</v>
      </c>
      <c r="Y7" s="11">
        <f>IFERROR(__xludf.DUMMYFUNCTION("""COMPUTED_VALUE"""),81380.75101234682)</f>
        <v>81380.75101</v>
      </c>
      <c r="AC7" s="15">
        <v>45830.0</v>
      </c>
      <c r="AD7" s="16">
        <v>462486.0</v>
      </c>
      <c r="AE7" s="22">
        <v>102938.0</v>
      </c>
      <c r="AF7" s="22">
        <v>70784.0</v>
      </c>
      <c r="AG7" s="22">
        <v>25.0</v>
      </c>
      <c r="AH7" s="22">
        <v>250247.0</v>
      </c>
      <c r="AI7" s="22">
        <v>129900.0</v>
      </c>
      <c r="AJ7" s="22">
        <v>2131.0</v>
      </c>
      <c r="AK7" s="22">
        <v>66.0</v>
      </c>
      <c r="AL7" s="20">
        <v>28750.23439</v>
      </c>
      <c r="AM7" s="20">
        <v>895526.734</v>
      </c>
      <c r="AN7" s="22">
        <v>972.31</v>
      </c>
      <c r="AO7" s="23">
        <v>30286.0</v>
      </c>
      <c r="AP7" s="18">
        <f t="shared" si="3"/>
        <v>1942853.968</v>
      </c>
      <c r="AQ7" s="19">
        <f t="shared" si="4"/>
        <v>667180.2344</v>
      </c>
      <c r="AR7" s="20">
        <f t="shared" si="5"/>
        <v>250247</v>
      </c>
      <c r="AS7" s="20">
        <f t="shared" si="6"/>
        <v>1025426.734</v>
      </c>
      <c r="AT7" s="19">
        <f t="shared" si="7"/>
        <v>-59068.38606</v>
      </c>
      <c r="AU7" s="20">
        <f t="shared" si="8"/>
        <v>-1845.887064</v>
      </c>
    </row>
    <row r="8" ht="22.5" customHeight="1">
      <c r="Q8" s="11" t="str">
        <f>IFERROR(__xludf.DUMMYFUNCTION("""COMPUTED_VALUE"""),"COST")</f>
        <v>COST</v>
      </c>
      <c r="R8" s="11" t="str">
        <f>IFERROR(__xludf.DUMMYFUNCTION("""COMPUTED_VALUE"""),"Costco Wholesale Corporation")</f>
        <v>Costco Wholesale Corporation</v>
      </c>
      <c r="S8" s="11">
        <f>IFERROR(__xludf.DUMMYFUNCTION("""COMPUTED_VALUE"""),31827.845498749997)</f>
        <v>31827.8455</v>
      </c>
      <c r="T8" s="11">
        <f>IFERROR(__xludf.DUMMYFUNCTION("""COMPUTED_VALUE"""),27816.109800000006)</f>
        <v>27816.1098</v>
      </c>
      <c r="U8" s="12">
        <f>IFERROR(__xludf.DUMMYFUNCTION("""COMPUTED_VALUE"""),2.4000000000000004)</f>
        <v>2.4</v>
      </c>
      <c r="V8" s="13">
        <f>IFERROR(__xludf.DUMMYFUNCTION("""COMPUTED_VALUE"""),-308.2689999999993)</f>
        <v>-308.269</v>
      </c>
      <c r="W8" s="14">
        <f>IFERROR(__xludf.DUMMYFUNCTION("""COMPUTED_VALUE"""),-0.12604484016700243)</f>
        <v>-0.1260448402</v>
      </c>
      <c r="X8" s="11">
        <f>IFERROR(__xludf.DUMMYFUNCTION("""COMPUTED_VALUE"""),76386.829197)</f>
        <v>76386.8292</v>
      </c>
      <c r="Y8" s="11">
        <f>IFERROR(__xludf.DUMMYFUNCTION("""COMPUTED_VALUE"""),66758.66352000003)</f>
        <v>66758.66352</v>
      </c>
      <c r="AC8" s="15">
        <v>45861.0</v>
      </c>
      <c r="AD8" s="16">
        <v>452680.0</v>
      </c>
      <c r="AE8" s="22">
        <v>105283.0</v>
      </c>
      <c r="AF8" s="22">
        <v>70786.0</v>
      </c>
      <c r="AG8" s="22">
        <v>25.0</v>
      </c>
      <c r="AH8" s="22">
        <v>267538.0</v>
      </c>
      <c r="AI8" s="22">
        <v>135944.0</v>
      </c>
      <c r="AJ8" s="22">
        <v>1201.0</v>
      </c>
      <c r="AK8" s="22">
        <v>66.0</v>
      </c>
      <c r="AL8" s="20">
        <v>5409.049146</v>
      </c>
      <c r="AM8" s="20">
        <v>961147.4881620001</v>
      </c>
      <c r="AN8" s="22">
        <v>183.97</v>
      </c>
      <c r="AO8" s="22">
        <v>32690.09</v>
      </c>
      <c r="AP8" s="18">
        <f t="shared" si="3"/>
        <v>2000079.537</v>
      </c>
      <c r="AQ8" s="19">
        <f t="shared" si="4"/>
        <v>635450.0491</v>
      </c>
      <c r="AR8" s="20">
        <f t="shared" si="5"/>
        <v>267538</v>
      </c>
      <c r="AS8" s="20">
        <f t="shared" si="6"/>
        <v>1097091.488</v>
      </c>
      <c r="AT8" s="19">
        <f t="shared" si="7"/>
        <v>57225.56892</v>
      </c>
      <c r="AU8" s="20">
        <f t="shared" si="8"/>
        <v>1845.986094</v>
      </c>
    </row>
    <row r="9" ht="22.5" customHeight="1">
      <c r="Q9" s="11" t="str">
        <f>IFERROR(__xludf.DUMMYFUNCTION("""COMPUTED_VALUE"""),"PLTR")</f>
        <v>PLTR</v>
      </c>
      <c r="R9" s="11" t="str">
        <f>IFERROR(__xludf.DUMMYFUNCTION("""COMPUTED_VALUE"""),"Palantir Technologies Inc.")</f>
        <v>Palantir Technologies Inc.</v>
      </c>
      <c r="S9" s="11">
        <f>IFERROR(__xludf.DUMMYFUNCTION("""COMPUTED_VALUE"""),3490.600080000001)</f>
        <v>3490.60008</v>
      </c>
      <c r="T9" s="11">
        <f>IFERROR(__xludf.DUMMYFUNCTION("""COMPUTED_VALUE"""),5166.56286)</f>
        <v>5166.56286</v>
      </c>
      <c r="U9" s="12">
        <f>IFERROR(__xludf.DUMMYFUNCTION("""COMPUTED_VALUE"""),10.0)</f>
        <v>10</v>
      </c>
      <c r="V9" s="13">
        <f>IFERROR(__xludf.DUMMYFUNCTION("""COMPUTED_VALUE"""),536.5999999999997)</f>
        <v>536.6</v>
      </c>
      <c r="W9" s="14">
        <f>IFERROR(__xludf.DUMMYFUNCTION("""COMPUTED_VALUE"""),0.48013600572655657)</f>
        <v>0.4801360057</v>
      </c>
      <c r="X9" s="11">
        <f>IFERROR(__xludf.DUMMYFUNCTION("""COMPUTED_VALUE"""),34906.00080000001)</f>
        <v>34906.0008</v>
      </c>
      <c r="Y9" s="11">
        <f>IFERROR(__xludf.DUMMYFUNCTION("""COMPUTED_VALUE"""),51665.628600000004)</f>
        <v>51665.6286</v>
      </c>
      <c r="AC9" s="15">
        <v>45912.0</v>
      </c>
      <c r="AD9" s="16">
        <v>401784.0</v>
      </c>
      <c r="AE9" s="22">
        <v>61656.0</v>
      </c>
      <c r="AF9" s="22">
        <v>44910.0</v>
      </c>
      <c r="AG9" s="22">
        <v>26.0</v>
      </c>
      <c r="AH9" s="22">
        <v>271143.0</v>
      </c>
      <c r="AI9" s="22">
        <v>184147.0</v>
      </c>
      <c r="AJ9" s="22">
        <v>1676.0</v>
      </c>
      <c r="AK9" s="22">
        <v>66.0</v>
      </c>
      <c r="AL9" s="20">
        <v>4066.336506568</v>
      </c>
      <c r="AM9" s="20">
        <v>1114007.882140188</v>
      </c>
      <c r="AN9" s="22">
        <v>134.32</v>
      </c>
      <c r="AO9" s="23">
        <v>36798.12</v>
      </c>
      <c r="AP9" s="18">
        <f t="shared" si="3"/>
        <v>2083482.219</v>
      </c>
      <c r="AQ9" s="19">
        <f t="shared" si="4"/>
        <v>514184.3365</v>
      </c>
      <c r="AR9" s="20">
        <f t="shared" si="5"/>
        <v>271143</v>
      </c>
      <c r="AS9" s="20">
        <f t="shared" si="6"/>
        <v>1298154.882</v>
      </c>
      <c r="AT9" s="19">
        <f t="shared" si="7"/>
        <v>83402.68134</v>
      </c>
      <c r="AU9" s="20">
        <f t="shared" si="8"/>
        <v>1635.346693</v>
      </c>
    </row>
    <row r="10" ht="22.5" customHeight="1">
      <c r="Q10" s="11" t="str">
        <f>IFERROR(__xludf.DUMMYFUNCTION("""COMPUTED_VALUE"""),"QLD")</f>
        <v>QLD</v>
      </c>
      <c r="R10" s="11" t="str">
        <f>IFERROR(__xludf.DUMMYFUNCTION("""COMPUTED_VALUE"""),"ProShares Ultra QQQ")</f>
        <v>ProShares Ultra QQQ</v>
      </c>
      <c r="S10" s="11">
        <f>IFERROR(__xludf.DUMMYFUNCTION("""COMPUTED_VALUE"""),3128.3890148409596)</f>
        <v>3128.389015</v>
      </c>
      <c r="T10" s="11">
        <f>IFERROR(__xludf.DUMMYFUNCTION("""COMPUTED_VALUE"""),4222.389270000001)</f>
        <v>4222.38927</v>
      </c>
      <c r="U10" s="12">
        <f>IFERROR(__xludf.DUMMYFUNCTION("""COMPUTED_VALUE"""),10.0)</f>
        <v>10</v>
      </c>
      <c r="V10" s="13">
        <f>IFERROR(__xludf.DUMMYFUNCTION("""COMPUTED_VALUE"""),350.27062887299996)</f>
        <v>350.2706289</v>
      </c>
      <c r="W10" s="14">
        <f>IFERROR(__xludf.DUMMYFUNCTION("""COMPUTED_VALUE"""),0.349700836427038)</f>
        <v>0.3497008364</v>
      </c>
      <c r="X10" s="11">
        <f>IFERROR(__xludf.DUMMYFUNCTION("""COMPUTED_VALUE"""),31283.8901484096)</f>
        <v>31283.89015</v>
      </c>
      <c r="Y10" s="11">
        <f>IFERROR(__xludf.DUMMYFUNCTION("""COMPUTED_VALUE"""),42223.89270000001)</f>
        <v>42223.8927</v>
      </c>
      <c r="AB10" s="36"/>
      <c r="AC10" s="15">
        <v>45960.0</v>
      </c>
      <c r="AD10" s="16">
        <v>383520.0</v>
      </c>
      <c r="AE10" s="22">
        <v>49933.0</v>
      </c>
      <c r="AF10" s="22">
        <v>27098.0</v>
      </c>
      <c r="AG10" s="22">
        <v>26.0</v>
      </c>
      <c r="AH10" s="22">
        <v>307726.0</v>
      </c>
      <c r="AI10" s="22">
        <v>184932.0</v>
      </c>
      <c r="AJ10" s="22">
        <v>13905.0</v>
      </c>
      <c r="AK10" s="22">
        <v>66.0</v>
      </c>
      <c r="AL10" s="37">
        <v>3566.9080200000003</v>
      </c>
      <c r="AM10" s="37">
        <v>1259924.16981</v>
      </c>
      <c r="AN10" s="22">
        <v>116.22</v>
      </c>
      <c r="AO10" s="38">
        <v>41051.91</v>
      </c>
      <c r="AP10" s="18">
        <f t="shared" si="3"/>
        <v>2230697.078</v>
      </c>
      <c r="AQ10" s="19">
        <f t="shared" si="4"/>
        <v>478114.908</v>
      </c>
      <c r="AR10" s="20">
        <f t="shared" si="5"/>
        <v>307726</v>
      </c>
      <c r="AS10" s="20">
        <f t="shared" si="6"/>
        <v>1444856.17</v>
      </c>
      <c r="AT10" s="19">
        <f t="shared" si="7"/>
        <v>147214.8592</v>
      </c>
      <c r="AU10" s="20">
        <f t="shared" si="8"/>
        <v>3066.976233</v>
      </c>
    </row>
    <row r="11" ht="22.5" customHeight="1">
      <c r="Q11" s="11" t="str">
        <f>IFERROR(__xludf.DUMMYFUNCTION("""COMPUTED_VALUE"""),"GOOGL")</f>
        <v>GOOGL</v>
      </c>
      <c r="R11" s="11" t="str">
        <f>IFERROR(__xludf.DUMMYFUNCTION("""COMPUTED_VALUE"""),"Alphabet Inc.")</f>
        <v>Alphabet Inc.</v>
      </c>
      <c r="S11" s="11">
        <f>IFERROR(__xludf.DUMMYFUNCTION("""COMPUTED_VALUE"""),5798.897155133334)</f>
        <v>5798.897155</v>
      </c>
      <c r="T11" s="11">
        <f>IFERROR(__xludf.DUMMYFUNCTION("""COMPUTED_VALUE"""),9145.33473)</f>
        <v>9145.33473</v>
      </c>
      <c r="U11" s="12">
        <f>IFERROR(__xludf.DUMMYFUNCTION("""COMPUTED_VALUE"""),4.5)</f>
        <v>4.5</v>
      </c>
      <c r="V11" s="13">
        <f>IFERROR(__xludf.DUMMYFUNCTION("""COMPUTED_VALUE"""),482.14930000000004)</f>
        <v>482.1493</v>
      </c>
      <c r="W11" s="14">
        <f>IFERROR(__xludf.DUMMYFUNCTION("""COMPUTED_VALUE"""),0.5770817252560367)</f>
        <v>0.5770817253</v>
      </c>
      <c r="X11" s="11">
        <f>IFERROR(__xludf.DUMMYFUNCTION("""COMPUTED_VALUE"""),26095.037198100003)</f>
        <v>26095.0372</v>
      </c>
      <c r="Y11" s="11">
        <f>IFERROR(__xludf.DUMMYFUNCTION("""COMPUTED_VALUE"""),41154.006285)</f>
        <v>41154.00629</v>
      </c>
      <c r="AB11" s="36"/>
      <c r="AC11" s="39"/>
      <c r="AD11" s="40"/>
      <c r="AE11" s="20"/>
      <c r="AF11" s="20"/>
      <c r="AG11" s="20"/>
      <c r="AH11" s="20"/>
      <c r="AI11" s="20"/>
      <c r="AJ11" s="20"/>
      <c r="AK11" s="20"/>
      <c r="AL11" s="41"/>
      <c r="AM11" s="41"/>
      <c r="AN11" s="20"/>
      <c r="AO11" s="20"/>
      <c r="AP11" s="18">
        <f t="shared" si="3"/>
        <v>0</v>
      </c>
      <c r="AQ11" s="19">
        <f t="shared" si="4"/>
        <v>0</v>
      </c>
      <c r="AR11" s="20" t="str">
        <f t="shared" si="5"/>
        <v/>
      </c>
      <c r="AS11" s="41">
        <f t="shared" si="6"/>
        <v>0</v>
      </c>
      <c r="AT11" s="19">
        <f t="shared" si="7"/>
        <v>-2230697.078</v>
      </c>
      <c r="AU11" s="20">
        <f t="shared" si="8"/>
        <v>48.53561962</v>
      </c>
    </row>
    <row r="12" ht="22.5" customHeight="1">
      <c r="Q12" s="11" t="str">
        <f>IFERROR(__xludf.DUMMYFUNCTION("""COMPUTED_VALUE"""),"AGGU.SW")</f>
        <v>AGGU.SW</v>
      </c>
      <c r="R12" s="11" t="str">
        <f>IFERROR(__xludf.DUMMYFUNCTION("""COMPUTED_VALUE"""),"iShares Core Global Aggregate Bond UCITS ETF USD Hedged (Acc)")</f>
        <v>iShares Core Global Aggregate Bond UCITS ETF USD Hedged (Acc)</v>
      </c>
      <c r="S12" s="11">
        <f>IFERROR(__xludf.DUMMYFUNCTION("""COMPUTED_VALUE"""),175.01161686000003)</f>
        <v>175.0116169</v>
      </c>
      <c r="T12" s="11">
        <f>IFERROR(__xludf.DUMMYFUNCTION("""COMPUTED_VALUE"""),180.72038460000002)</f>
        <v>180.7203846</v>
      </c>
      <c r="U12" s="12">
        <f>IFERROR(__xludf.DUMMYFUNCTION("""COMPUTED_VALUE"""),200.0)</f>
        <v>200</v>
      </c>
      <c r="V12" s="13">
        <f>IFERROR(__xludf.DUMMYFUNCTION("""COMPUTED_VALUE"""),36.55600000000004)</f>
        <v>36.556</v>
      </c>
      <c r="W12" s="14">
        <f>IFERROR(__xludf.DUMMYFUNCTION("""COMPUTED_VALUE"""),0.03261936460233218)</f>
        <v>0.0326193646</v>
      </c>
      <c r="X12" s="11">
        <f>IFERROR(__xludf.DUMMYFUNCTION("""COMPUTED_VALUE"""),35002.323372000006)</f>
        <v>35002.32337</v>
      </c>
      <c r="Y12" s="11">
        <f>IFERROR(__xludf.DUMMYFUNCTION("""COMPUTED_VALUE"""),36144.07692000001)</f>
        <v>36144.07692</v>
      </c>
      <c r="AB12" s="36"/>
      <c r="AC12" s="39"/>
      <c r="AD12" s="40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18">
        <f t="shared" si="3"/>
        <v>0</v>
      </c>
      <c r="AQ12" s="19">
        <f t="shared" si="4"/>
        <v>0</v>
      </c>
      <c r="AR12" s="20" t="str">
        <f t="shared" si="5"/>
        <v/>
      </c>
      <c r="AS12" s="20">
        <f t="shared" si="6"/>
        <v>0</v>
      </c>
      <c r="AT12" s="19">
        <f t="shared" si="7"/>
        <v>0</v>
      </c>
      <c r="AU12" s="20" t="str">
        <f t="shared" si="8"/>
        <v>#DIV/0!</v>
      </c>
    </row>
    <row r="13" ht="22.5" customHeight="1">
      <c r="Q13" s="11" t="str">
        <f>IFERROR(__xludf.DUMMYFUNCTION("""COMPUTED_VALUE"""),"ORCL")</f>
        <v>ORCL</v>
      </c>
      <c r="R13" s="21" t="str">
        <f>IFERROR(__xludf.DUMMYFUNCTION("""COMPUTED_VALUE"""),"Oracle Corporation")</f>
        <v>Oracle Corporation</v>
      </c>
      <c r="S13" s="11">
        <f>IFERROR(__xludf.DUMMYFUNCTION("""COMPUTED_VALUE"""),8947.942170000002)</f>
        <v>8947.94217</v>
      </c>
      <c r="T13" s="11">
        <f>IFERROR(__xludf.DUMMYFUNCTION("""COMPUTED_VALUE"""),7043.978490000001)</f>
        <v>7043.97849</v>
      </c>
      <c r="U13" s="12">
        <f>IFERROR(__xludf.DUMMYFUNCTION("""COMPUTED_VALUE"""),4.0)</f>
        <v>4</v>
      </c>
      <c r="V13" s="13">
        <f>IFERROR(__xludf.DUMMYFUNCTION("""COMPUTED_VALUE"""),-243.84000000000003)</f>
        <v>-243.84</v>
      </c>
      <c r="W13" s="14">
        <f>IFERROR(__xludf.DUMMYFUNCTION("""COMPUTED_VALUE"""),-0.21278229606618035)</f>
        <v>-0.2127822961</v>
      </c>
      <c r="X13" s="11">
        <f>IFERROR(__xludf.DUMMYFUNCTION("""COMPUTED_VALUE"""),35791.76868000001)</f>
        <v>35791.76868</v>
      </c>
      <c r="Y13" s="11">
        <f>IFERROR(__xludf.DUMMYFUNCTION("""COMPUTED_VALUE"""),28175.913960000005)</f>
        <v>28175.91396</v>
      </c>
      <c r="AB13" s="36"/>
      <c r="AC13" s="42"/>
      <c r="AD13" s="16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18">
        <f t="shared" si="3"/>
        <v>0</v>
      </c>
      <c r="AQ13" s="19">
        <f t="shared" si="4"/>
        <v>0</v>
      </c>
      <c r="AR13" s="20" t="str">
        <f t="shared" si="5"/>
        <v/>
      </c>
      <c r="AS13" s="20">
        <f t="shared" si="6"/>
        <v>0</v>
      </c>
      <c r="AT13" s="19">
        <f t="shared" si="7"/>
        <v>0</v>
      </c>
      <c r="AU13" s="20" t="str">
        <f t="shared" si="8"/>
        <v>#DIV/0!</v>
      </c>
    </row>
    <row r="14" ht="22.5" customHeight="1">
      <c r="Q14" s="11" t="str">
        <f>IFERROR(__xludf.DUMMYFUNCTION("""COMPUTED_VALUE"""),"AAPL")</f>
        <v>AAPL</v>
      </c>
      <c r="R14" s="21" t="str">
        <f>IFERROR(__xludf.DUMMYFUNCTION("""COMPUTED_VALUE"""),"Apple Inc.")</f>
        <v>Apple Inc.</v>
      </c>
      <c r="S14" s="11">
        <f>IFERROR(__xludf.DUMMYFUNCTION("""COMPUTED_VALUE"""),7959.2771715)</f>
        <v>7959.277172</v>
      </c>
      <c r="T14" s="11">
        <f>IFERROR(__xludf.DUMMYFUNCTION("""COMPUTED_VALUE"""),8387.934480000002)</f>
        <v>8387.93448</v>
      </c>
      <c r="U14" s="12">
        <f>IFERROR(__xludf.DUMMYFUNCTION("""COMPUTED_VALUE"""),4.0)</f>
        <v>4</v>
      </c>
      <c r="V14" s="13">
        <f>IFERROR(__xludf.DUMMYFUNCTION("""COMPUTED_VALUE"""),54.89800000000014)</f>
        <v>54.898</v>
      </c>
      <c r="W14" s="14">
        <f>IFERROR(__xludf.DUMMYFUNCTION("""COMPUTED_VALUE"""),0.05385631122822384)</f>
        <v>0.05385631123</v>
      </c>
      <c r="X14" s="11">
        <f>IFERROR(__xludf.DUMMYFUNCTION("""COMPUTED_VALUE"""),31837.108686)</f>
        <v>31837.10869</v>
      </c>
      <c r="Y14" s="11">
        <f>IFERROR(__xludf.DUMMYFUNCTION("""COMPUTED_VALUE"""),33551.73792000001)</f>
        <v>33551.73792</v>
      </c>
      <c r="AA14" s="43"/>
      <c r="AC14" s="39"/>
      <c r="AD14" s="4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18">
        <f t="shared" si="3"/>
        <v>0</v>
      </c>
      <c r="AQ14" s="19">
        <f t="shared" si="4"/>
        <v>0</v>
      </c>
      <c r="AR14" s="20" t="str">
        <f t="shared" si="5"/>
        <v/>
      </c>
      <c r="AS14" s="20">
        <f t="shared" si="6"/>
        <v>0</v>
      </c>
      <c r="AT14" s="19">
        <f t="shared" si="7"/>
        <v>0</v>
      </c>
      <c r="AU14" s="20" t="str">
        <f t="shared" si="8"/>
        <v>#DIV/0!</v>
      </c>
    </row>
    <row r="15" ht="22.5" customHeight="1">
      <c r="Q15" s="11" t="str">
        <f>IFERROR(__xludf.DUMMYFUNCTION("""COMPUTED_VALUE"""),"AMZN")</f>
        <v>AMZN</v>
      </c>
      <c r="R15" s="11" t="str">
        <f>IFERROR(__xludf.DUMMYFUNCTION("""COMPUTED_VALUE"""),"Amazon.com, Inc.")</f>
        <v>Amazon.com, Inc.</v>
      </c>
      <c r="S15" s="11">
        <f>IFERROR(__xludf.DUMMYFUNCTION("""COMPUTED_VALUE"""),6404.460505714287)</f>
        <v>6404.460506</v>
      </c>
      <c r="T15" s="11">
        <f>IFERROR(__xludf.DUMMYFUNCTION("""COMPUTED_VALUE"""),6955.27677)</f>
        <v>6955.27677</v>
      </c>
      <c r="U15" s="12">
        <f>IFERROR(__xludf.DUMMYFUNCTION("""COMPUTED_VALUE"""),3.5)</f>
        <v>3.5</v>
      </c>
      <c r="V15" s="13">
        <f>IFERROR(__xludf.DUMMYFUNCTION("""COMPUTED_VALUE"""),61.72499999999991)</f>
        <v>61.725</v>
      </c>
      <c r="W15" s="14">
        <f>IFERROR(__xludf.DUMMYFUNCTION("""COMPUTED_VALUE"""),0.08600509969485419)</f>
        <v>0.08600509969</v>
      </c>
      <c r="X15" s="11">
        <f>IFERROR(__xludf.DUMMYFUNCTION("""COMPUTED_VALUE"""),22415.611770000003)</f>
        <v>22415.61177</v>
      </c>
      <c r="Y15" s="11">
        <f>IFERROR(__xludf.DUMMYFUNCTION("""COMPUTED_VALUE"""),24343.468695000003)</f>
        <v>24343.4687</v>
      </c>
      <c r="AA15" s="44"/>
      <c r="AC15" s="45"/>
      <c r="AD15" s="19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18">
        <f t="shared" si="3"/>
        <v>0</v>
      </c>
      <c r="AQ15" s="19">
        <f t="shared" si="4"/>
        <v>0</v>
      </c>
      <c r="AR15" s="20" t="str">
        <f t="shared" si="5"/>
        <v/>
      </c>
      <c r="AS15" s="20">
        <f t="shared" si="6"/>
        <v>0</v>
      </c>
      <c r="AT15" s="19">
        <f t="shared" si="7"/>
        <v>0</v>
      </c>
      <c r="AU15" s="20" t="str">
        <f t="shared" si="8"/>
        <v>#DIV/0!</v>
      </c>
    </row>
    <row r="16" ht="22.5" customHeight="1">
      <c r="Q16" s="11" t="str">
        <f>IFERROR(__xludf.DUMMYFUNCTION("""COMPUTED_VALUE"""),"meta")</f>
        <v>meta</v>
      </c>
      <c r="R16" s="21" t="str">
        <f>IFERROR(__xludf.DUMMYFUNCTION("""COMPUTED_VALUE"""),"Meta Platforms, Inc.")</f>
        <v>Meta Platforms, Inc.</v>
      </c>
      <c r="S16" s="11">
        <f>IFERROR(__xludf.DUMMYFUNCTION("""COMPUTED_VALUE"""),22261.320750000003)</f>
        <v>22261.32075</v>
      </c>
      <c r="T16" s="11">
        <f>IFERROR(__xludf.DUMMYFUNCTION("""COMPUTED_VALUE"""),18437.464560000004)</f>
        <v>18437.46456</v>
      </c>
      <c r="U16" s="12">
        <f>IFERROR(__xludf.DUMMYFUNCTION("""COMPUTED_VALUE"""),1.0)</f>
        <v>1</v>
      </c>
      <c r="V16" s="13">
        <f>IFERROR(__xludf.DUMMYFUNCTION("""COMPUTED_VALUE"""),-122.42999999999995)</f>
        <v>-122.43</v>
      </c>
      <c r="W16" s="14">
        <f>IFERROR(__xludf.DUMMYFUNCTION("""COMPUTED_VALUE"""),-0.1717713083128726)</f>
        <v>-0.1717713083</v>
      </c>
      <c r="X16" s="11">
        <f>IFERROR(__xludf.DUMMYFUNCTION("""COMPUTED_VALUE"""),22261.320750000003)</f>
        <v>22261.32075</v>
      </c>
      <c r="Y16" s="11">
        <f>IFERROR(__xludf.DUMMYFUNCTION("""COMPUTED_VALUE"""),18437.464560000004)</f>
        <v>18437.46456</v>
      </c>
      <c r="AC16" s="45"/>
      <c r="AD16" s="19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18">
        <f t="shared" si="3"/>
        <v>0</v>
      </c>
      <c r="AQ16" s="19">
        <f t="shared" si="4"/>
        <v>0</v>
      </c>
      <c r="AR16" s="20" t="str">
        <f t="shared" si="5"/>
        <v/>
      </c>
      <c r="AS16" s="20">
        <f t="shared" si="6"/>
        <v>0</v>
      </c>
      <c r="AT16" s="19">
        <f t="shared" si="7"/>
        <v>0</v>
      </c>
      <c r="AU16" s="20" t="str">
        <f t="shared" si="8"/>
        <v>#DIV/0!</v>
      </c>
    </row>
    <row r="17" ht="22.5" customHeight="1">
      <c r="Q17" s="20" t="str">
        <f>IFERROR(__xludf.DUMMYFUNCTION("""COMPUTED_VALUE"""),"FBTC")</f>
        <v>FBTC</v>
      </c>
      <c r="R17" s="20" t="str">
        <f>IFERROR(__xludf.DUMMYFUNCTION("""COMPUTED_VALUE"""),"Fidelity Wise Origin Bitcoin Fund")</f>
        <v>Fidelity Wise Origin Bitcoin Fund</v>
      </c>
      <c r="S17" s="20">
        <f>IFERROR(__xludf.DUMMYFUNCTION("""COMPUTED_VALUE"""),2513.2302728571435)</f>
        <v>2513.230273</v>
      </c>
      <c r="T17" s="20">
        <f>IFERROR(__xludf.DUMMYFUNCTION("""COMPUTED_VALUE"""),2433.9876900000004)</f>
        <v>2433.98769</v>
      </c>
      <c r="U17" s="46">
        <f>IFERROR(__xludf.DUMMYFUNCTION("""COMPUTED_VALUE"""),7.0)</f>
        <v>7</v>
      </c>
      <c r="V17" s="41">
        <f>IFERROR(__xludf.DUMMYFUNCTION("""COMPUTED_VALUE"""),-17.75999999999999)</f>
        <v>-17.76</v>
      </c>
      <c r="W17" s="47">
        <f>IFERROR(__xludf.DUMMYFUNCTION("""COMPUTED_VALUE"""),-0.031530172031175085)</f>
        <v>-0.03153017203</v>
      </c>
      <c r="X17" s="20">
        <f>IFERROR(__xludf.DUMMYFUNCTION("""COMPUTED_VALUE"""),17592.611910000003)</f>
        <v>17592.61191</v>
      </c>
      <c r="Y17" s="20">
        <f>IFERROR(__xludf.DUMMYFUNCTION("""COMPUTED_VALUE"""),17037.91383)</f>
        <v>17037.91383</v>
      </c>
      <c r="AC17" s="45"/>
      <c r="AD17" s="19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18">
        <f t="shared" si="3"/>
        <v>0</v>
      </c>
      <c r="AQ17" s="19">
        <f t="shared" si="4"/>
        <v>0</v>
      </c>
      <c r="AR17" s="20" t="str">
        <f t="shared" si="5"/>
        <v/>
      </c>
      <c r="AS17" s="20">
        <f t="shared" si="6"/>
        <v>0</v>
      </c>
      <c r="AT17" s="19">
        <f t="shared" si="7"/>
        <v>0</v>
      </c>
      <c r="AU17" s="20" t="str">
        <f t="shared" si="8"/>
        <v>#DIV/0!</v>
      </c>
    </row>
    <row r="18" ht="22.5" customHeight="1">
      <c r="Q18" s="11" t="str">
        <f>IFERROR(__xludf.DUMMYFUNCTION("""COMPUTED_VALUE"""),"MCD")</f>
        <v>MCD</v>
      </c>
      <c r="R18" s="11" t="str">
        <f>IFERROR(__xludf.DUMMYFUNCTION("""COMPUTED_VALUE"""),"McDonald's Corporation")</f>
        <v>McDonald's Corporation</v>
      </c>
      <c r="S18" s="11">
        <f>IFERROR(__xludf.DUMMYFUNCTION("""COMPUTED_VALUE"""),9043.579958475)</f>
        <v>9043.579958</v>
      </c>
      <c r="T18" s="11">
        <f>IFERROR(__xludf.DUMMYFUNCTION("""COMPUTED_VALUE"""),9455.478420000001)</f>
        <v>9455.47842</v>
      </c>
      <c r="U18" s="12">
        <f>IFERROR(__xludf.DUMMYFUNCTION("""COMPUTED_VALUE"""),2.0)</f>
        <v>2</v>
      </c>
      <c r="V18" s="13">
        <f>IFERROR(__xludf.DUMMYFUNCTION("""COMPUTED_VALUE"""),26.375850000000128)</f>
        <v>26.37585</v>
      </c>
      <c r="W18" s="14">
        <f>IFERROR(__xludf.DUMMYFUNCTION("""COMPUTED_VALUE"""),0.04554595231272325)</f>
        <v>0.04554595231</v>
      </c>
      <c r="X18" s="11">
        <f>IFERROR(__xludf.DUMMYFUNCTION("""COMPUTED_VALUE"""),18087.15991695)</f>
        <v>18087.15992</v>
      </c>
      <c r="Y18" s="11">
        <f>IFERROR(__xludf.DUMMYFUNCTION("""COMPUTED_VALUE"""),18910.956840000003)</f>
        <v>18910.95684</v>
      </c>
      <c r="AC18" s="48"/>
      <c r="AD18" s="49"/>
      <c r="AP18" s="50"/>
    </row>
    <row r="19" ht="22.5" customHeight="1">
      <c r="Q19" s="22" t="str">
        <f>IFERROR(__xludf.DUMMYFUNCTION("""COMPUTED_VALUE"""),"LFWD")</f>
        <v>LFWD</v>
      </c>
      <c r="R19" s="20" t="str">
        <f>IFERROR(__xludf.DUMMYFUNCTION("""COMPUTED_VALUE"""),"Lifeward Ltd.")</f>
        <v>Lifeward Ltd.</v>
      </c>
      <c r="S19" s="20">
        <f>IFERROR(__xludf.DUMMYFUNCTION("""COMPUTED_VALUE"""),55.027020161538466)</f>
        <v>55.02702016</v>
      </c>
      <c r="T19" s="20">
        <f>IFERROR(__xludf.DUMMYFUNCTION("""COMPUTED_VALUE"""),17.146917000000002)</f>
        <v>17.146917</v>
      </c>
      <c r="U19" s="46">
        <f>IFERROR(__xludf.DUMMYFUNCTION("""COMPUTED_VALUE"""),650.0)</f>
        <v>650</v>
      </c>
      <c r="V19" s="41">
        <f>IFERROR(__xludf.DUMMYFUNCTION("""COMPUTED_VALUE"""),-788.3349999999999)</f>
        <v>-788.335</v>
      </c>
      <c r="W19" s="47">
        <f>IFERROR(__xludf.DUMMYFUNCTION("""COMPUTED_VALUE"""),-0.688390958666067)</f>
        <v>-0.6883909587</v>
      </c>
      <c r="X19" s="20">
        <f>IFERROR(__xludf.DUMMYFUNCTION("""COMPUTED_VALUE"""),35767.563105)</f>
        <v>35767.56311</v>
      </c>
      <c r="Y19" s="20">
        <f>IFERROR(__xludf.DUMMYFUNCTION("""COMPUTED_VALUE"""),11145.496050000002)</f>
        <v>11145.49605</v>
      </c>
      <c r="AC19" s="48"/>
      <c r="AD19" s="49"/>
      <c r="AM19" s="51"/>
      <c r="AO19" s="51"/>
      <c r="AP19" s="50"/>
    </row>
    <row r="20" ht="22.5" customHeight="1">
      <c r="Q20" s="20" t="str">
        <f>IFERROR(__xludf.DUMMYFUNCTION("""COMPUTED_VALUE"""),"ABNB")</f>
        <v>ABNB</v>
      </c>
      <c r="R20" s="20" t="str">
        <f>IFERROR(__xludf.DUMMYFUNCTION("""COMPUTED_VALUE"""),"Airbnb, Inc.")</f>
        <v>Airbnb, Inc.</v>
      </c>
      <c r="S20" s="20">
        <f>IFERROR(__xludf.DUMMYFUNCTION("""COMPUTED_VALUE"""),4058.5425136500007)</f>
        <v>4058.542514</v>
      </c>
      <c r="T20" s="20">
        <f>IFERROR(__xludf.DUMMYFUNCTION("""COMPUTED_VALUE"""),3574.3045200000006)</f>
        <v>3574.30452</v>
      </c>
      <c r="U20" s="46">
        <f>IFERROR(__xludf.DUMMYFUNCTION("""COMPUTED_VALUE"""),3.0)</f>
        <v>3</v>
      </c>
      <c r="V20" s="41">
        <f>IFERROR(__xludf.DUMMYFUNCTION("""COMPUTED_VALUE"""),-46.51215000000002)</f>
        <v>-46.51215</v>
      </c>
      <c r="W20" s="47">
        <f>IFERROR(__xludf.DUMMYFUNCTION("""COMPUTED_VALUE"""),-0.11931327367432373)</f>
        <v>-0.1193132737</v>
      </c>
      <c r="X20" s="20">
        <f>IFERROR(__xludf.DUMMYFUNCTION("""COMPUTED_VALUE"""),12175.627540950001)</f>
        <v>12175.62754</v>
      </c>
      <c r="Y20" s="20">
        <f>IFERROR(__xludf.DUMMYFUNCTION("""COMPUTED_VALUE"""),10722.91356)</f>
        <v>10722.91356</v>
      </c>
      <c r="AC20" s="48"/>
      <c r="AD20" s="49"/>
      <c r="AP20" s="50"/>
    </row>
    <row r="21" ht="22.5" customHeight="1">
      <c r="Q21" s="20" t="str">
        <f>IFERROR(__xludf.DUMMYFUNCTION("""COMPUTED_VALUE"""),"TSLZ")</f>
        <v>TSLZ</v>
      </c>
      <c r="R21" s="52" t="str">
        <f>IFERROR(__xludf.DUMMYFUNCTION("""COMPUTED_VALUE"""),"T-Rex 2X Inverse Tesla Daily Target ETF")</f>
        <v>T-Rex 2X Inverse Tesla Daily Target ETF</v>
      </c>
      <c r="S21" s="20">
        <f>IFERROR(__xludf.DUMMYFUNCTION("""COMPUTED_VALUE"""),3157.6563)</f>
        <v>3157.6563</v>
      </c>
      <c r="T21" s="20">
        <f>IFERROR(__xludf.DUMMYFUNCTION("""COMPUTED_VALUE"""),486.2978100000001)</f>
        <v>486.29781</v>
      </c>
      <c r="U21" s="46">
        <f>IFERROR(__xludf.DUMMYFUNCTION("""COMPUTED_VALUE"""),5.0)</f>
        <v>5</v>
      </c>
      <c r="V21" s="41">
        <f>IFERROR(__xludf.DUMMYFUNCTION("""COMPUTED_VALUE"""),-427.65)</f>
        <v>-427.65</v>
      </c>
      <c r="W21" s="47">
        <f>IFERROR(__xludf.DUMMYFUNCTION("""COMPUTED_VALUE"""),-0.845994065281899)</f>
        <v>-0.8459940653</v>
      </c>
      <c r="X21" s="20">
        <f>IFERROR(__xludf.DUMMYFUNCTION("""COMPUTED_VALUE"""),15788.281500000003)</f>
        <v>15788.2815</v>
      </c>
      <c r="Y21" s="20">
        <f>IFERROR(__xludf.DUMMYFUNCTION("""COMPUTED_VALUE"""),2431.48905)</f>
        <v>2431.48905</v>
      </c>
      <c r="AC21" s="48"/>
      <c r="AD21" s="49"/>
      <c r="AP21" s="50"/>
      <c r="AT21" s="53">
        <v>116.22</v>
      </c>
      <c r="AU21" s="43">
        <v>41051.91</v>
      </c>
    </row>
    <row r="22" ht="22.5" customHeight="1">
      <c r="Q22" s="20" t="str">
        <f>IFERROR(__xludf.DUMMYFUNCTION("""COMPUTED_VALUE"""),"1432")</f>
        <v>1432</v>
      </c>
      <c r="R22" s="52" t="str">
        <f>IFERROR(__xludf.DUMMYFUNCTION("""COMPUTED_VALUE"""),"大魯閣")</f>
        <v>大魯閣</v>
      </c>
      <c r="S22" s="41">
        <f>IFERROR(__xludf.DUMMYFUNCTION("""COMPUTED_VALUE"""),20.0)</f>
        <v>20</v>
      </c>
      <c r="T22" s="20">
        <f>IFERROR(__xludf.DUMMYFUNCTION("""COMPUTED_VALUE"""),17.15)</f>
        <v>17.15</v>
      </c>
      <c r="U22" s="20">
        <f>IFERROR(__xludf.DUMMYFUNCTION("""COMPUTED_VALUE"""),1.0)</f>
        <v>1</v>
      </c>
      <c r="V22" s="41">
        <f>IFERROR(__xludf.DUMMYFUNCTION("""COMPUTED_VALUE"""),-2.8500000000000014)</f>
        <v>-2.85</v>
      </c>
      <c r="W22" s="47">
        <f>IFERROR(__xludf.DUMMYFUNCTION("""COMPUTED_VALUE"""),-0.14250000000000007)</f>
        <v>-0.1425</v>
      </c>
      <c r="X22" s="54">
        <f>IFERROR(__xludf.DUMMYFUNCTION("""COMPUTED_VALUE"""),20.0)</f>
        <v>20</v>
      </c>
      <c r="Y22" s="54">
        <f>IFERROR(__xludf.DUMMYFUNCTION("""COMPUTED_VALUE"""),17.15)</f>
        <v>17.15</v>
      </c>
      <c r="AC22" s="48"/>
      <c r="AD22" s="49"/>
      <c r="AP22" s="50"/>
      <c r="AT22" s="55">
        <f>AT21*J6</f>
        <v>3629.89926</v>
      </c>
      <c r="AU22" s="55">
        <f>AU21*J6</f>
        <v>1282174.305</v>
      </c>
    </row>
    <row r="23" ht="22.5" customHeight="1">
      <c r="Q23" s="20" t="str">
        <f>IFERROR(__xludf.DUMMYFUNCTION("""COMPUTED_VALUE"""),"006208")</f>
        <v>006208</v>
      </c>
      <c r="R23" s="52" t="str">
        <f>IFERROR(__xludf.DUMMYFUNCTION("""COMPUTED_VALUE"""),"富邦台50")</f>
        <v>富邦台50</v>
      </c>
      <c r="S23" s="41">
        <f>IFERROR(__xludf.DUMMYFUNCTION("""COMPUTED_VALUE"""),116.44382352941177)</f>
        <v>116.4438235</v>
      </c>
      <c r="T23" s="20">
        <f>IFERROR(__xludf.DUMMYFUNCTION("""COMPUTED_VALUE"""),141.55)</f>
        <v>141.55</v>
      </c>
      <c r="U23" s="20">
        <f>IFERROR(__xludf.DUMMYFUNCTION("""COMPUTED_VALUE"""),34.0)</f>
        <v>34</v>
      </c>
      <c r="V23" s="41">
        <f>IFERROR(__xludf.DUMMYFUNCTION("""COMPUTED_VALUE"""),853.6100000000006)</f>
        <v>853.61</v>
      </c>
      <c r="W23" s="47">
        <f>IFERROR(__xludf.DUMMYFUNCTION("""COMPUTED_VALUE"""),0.21560762700519578)</f>
        <v>0.215607627</v>
      </c>
      <c r="X23" s="54">
        <f>IFERROR(__xludf.DUMMYFUNCTION("""COMPUTED_VALUE"""),3959.09)</f>
        <v>3959.09</v>
      </c>
      <c r="Y23" s="54">
        <f>IFERROR(__xludf.DUMMYFUNCTION("""COMPUTED_VALUE"""),4812.700000000001)</f>
        <v>4812.7</v>
      </c>
      <c r="AC23" s="48"/>
      <c r="AD23" s="49"/>
      <c r="AP23" s="50"/>
    </row>
    <row r="24" ht="22.5" customHeight="1">
      <c r="Q24" s="52" t="str">
        <f>IFERROR(__xludf.DUMMYFUNCTION("""COMPUTED_VALUE"""),"009800")</f>
        <v>009800</v>
      </c>
      <c r="R24" s="52" t="str">
        <f>IFERROR(__xludf.DUMMYFUNCTION("""COMPUTED_VALUE"""),"中信NASDAQ")</f>
        <v>中信NASDAQ</v>
      </c>
      <c r="S24" s="41">
        <f>IFERROR(__xludf.DUMMYFUNCTION("""COMPUTED_VALUE"""),10.008461538461539)</f>
        <v>10.00846154</v>
      </c>
      <c r="T24" s="20">
        <f>IFERROR(__xludf.DUMMYFUNCTION("""COMPUTED_VALUE"""),10.92)</f>
        <v>10.92</v>
      </c>
      <c r="U24" s="20">
        <f>IFERROR(__xludf.DUMMYFUNCTION("""COMPUTED_VALUE"""),1300.0)</f>
        <v>1300</v>
      </c>
      <c r="V24" s="41">
        <f>IFERROR(__xludf.DUMMYFUNCTION("""COMPUTED_VALUE"""),1185.0)</f>
        <v>1185</v>
      </c>
      <c r="W24" s="47">
        <f>IFERROR(__xludf.DUMMYFUNCTION("""COMPUTED_VALUE"""),0.09107678118515103)</f>
        <v>0.09107678119</v>
      </c>
      <c r="X24" s="54">
        <f>IFERROR(__xludf.DUMMYFUNCTION("""COMPUTED_VALUE"""),13011.0)</f>
        <v>13011</v>
      </c>
      <c r="Y24" s="54">
        <f>IFERROR(__xludf.DUMMYFUNCTION("""COMPUTED_VALUE"""),14196.0)</f>
        <v>14196</v>
      </c>
      <c r="AC24" s="48"/>
      <c r="AD24" s="49"/>
      <c r="AP24" s="50"/>
    </row>
    <row r="25" ht="22.5" customHeight="1">
      <c r="Q25" s="20" t="str">
        <f>IFERROR(__xludf.DUMMYFUNCTION("""COMPUTED_VALUE"""),"2330")</f>
        <v>2330</v>
      </c>
      <c r="R25" s="52" t="str">
        <f>IFERROR(__xludf.DUMMYFUNCTION("""COMPUTED_VALUE"""),"台積電")</f>
        <v>台積電</v>
      </c>
      <c r="S25" s="41">
        <f>IFERROR(__xludf.DUMMYFUNCTION("""COMPUTED_VALUE"""),1462.0714285714287)</f>
        <v>1462.071429</v>
      </c>
      <c r="T25" s="20">
        <f>IFERROR(__xludf.DUMMYFUNCTION("""COMPUTED_VALUE"""),1455.0)</f>
        <v>1455</v>
      </c>
      <c r="U25" s="20">
        <f>IFERROR(__xludf.DUMMYFUNCTION("""COMPUTED_VALUE"""),42.0)</f>
        <v>42</v>
      </c>
      <c r="V25" s="41">
        <f>IFERROR(__xludf.DUMMYFUNCTION("""COMPUTED_VALUE"""),-297.0)</f>
        <v>-297</v>
      </c>
      <c r="W25" s="47">
        <f>IFERROR(__xludf.DUMMYFUNCTION("""COMPUTED_VALUE"""),-0.004836582148614979)</f>
        <v>-0.004836582149</v>
      </c>
      <c r="X25" s="54">
        <f>IFERROR(__xludf.DUMMYFUNCTION("""COMPUTED_VALUE"""),61407.0)</f>
        <v>61407</v>
      </c>
      <c r="Y25" s="54">
        <f>IFERROR(__xludf.DUMMYFUNCTION("""COMPUTED_VALUE"""),61110.0)</f>
        <v>61110</v>
      </c>
      <c r="AC25" s="48"/>
      <c r="AD25" s="49"/>
      <c r="AP25" s="50"/>
    </row>
    <row r="26" ht="22.5" customHeight="1">
      <c r="Q26" s="52" t="str">
        <f>IFERROR(__xludf.DUMMYFUNCTION("""COMPUTED_VALUE"""),"0050")</f>
        <v>0050</v>
      </c>
      <c r="R26" s="52" t="str">
        <f>IFERROR(__xludf.DUMMYFUNCTION("""COMPUTED_VALUE"""),"元大台灣50")</f>
        <v>元大台灣50</v>
      </c>
      <c r="S26" s="41">
        <f>IFERROR(__xludf.DUMMYFUNCTION("""COMPUTED_VALUE"""),45.716345936794575)</f>
        <v>45.71634594</v>
      </c>
      <c r="T26" s="20">
        <f>IFERROR(__xludf.DUMMYFUNCTION("""COMPUTED_VALUE"""),61.9)</f>
        <v>61.9</v>
      </c>
      <c r="U26" s="20">
        <f>IFERROR(__xludf.DUMMYFUNCTION("""COMPUTED_VALUE"""),3544.0)</f>
        <v>3544</v>
      </c>
      <c r="V26" s="41">
        <f>IFERROR(__xludf.DUMMYFUNCTION("""COMPUTED_VALUE"""),57354.870000000024)</f>
        <v>57354.87</v>
      </c>
      <c r="W26" s="47">
        <f>IFERROR(__xludf.DUMMYFUNCTION("""COMPUTED_VALUE"""),0.35400147871792376)</f>
        <v>0.3540014787</v>
      </c>
      <c r="X26" s="54">
        <f>IFERROR(__xludf.DUMMYFUNCTION("""COMPUTED_VALUE"""),162018.72999999998)</f>
        <v>162018.73</v>
      </c>
      <c r="Y26" s="54">
        <f>IFERROR(__xludf.DUMMYFUNCTION("""COMPUTED_VALUE"""),219373.6)</f>
        <v>219373.6</v>
      </c>
      <c r="AC26" s="48"/>
      <c r="AD26" s="49"/>
      <c r="AP26" s="50"/>
    </row>
    <row r="27" ht="22.5" customHeight="1">
      <c r="Q27" s="20"/>
      <c r="R27" s="20"/>
      <c r="S27" s="20"/>
      <c r="T27" s="20"/>
      <c r="U27" s="20"/>
      <c r="V27" s="20"/>
      <c r="W27" s="20"/>
      <c r="X27" s="20"/>
      <c r="Y27" s="20"/>
      <c r="AC27" s="48"/>
      <c r="AD27" s="49"/>
      <c r="AP27" s="50"/>
    </row>
    <row r="28" ht="22.5" customHeight="1">
      <c r="Q28" s="20"/>
      <c r="R28" s="20"/>
      <c r="S28" s="20"/>
      <c r="T28" s="20"/>
      <c r="U28" s="20"/>
      <c r="V28" s="20"/>
      <c r="W28" s="20"/>
      <c r="X28" s="20"/>
      <c r="Y28" s="20"/>
      <c r="AC28" s="48"/>
      <c r="AD28" s="49"/>
      <c r="AP28" s="50"/>
    </row>
    <row r="29" ht="22.5" customHeight="1">
      <c r="Q29" s="20"/>
      <c r="R29" s="20"/>
      <c r="S29" s="20"/>
      <c r="T29" s="20"/>
      <c r="U29" s="20"/>
      <c r="V29" s="20"/>
      <c r="W29" s="20"/>
      <c r="X29" s="20"/>
      <c r="Y29" s="20"/>
      <c r="AC29" s="48"/>
      <c r="AD29" s="49"/>
      <c r="AP29" s="50"/>
    </row>
    <row r="30" ht="22.5" customHeight="1">
      <c r="Q30" s="20"/>
      <c r="R30" s="20"/>
      <c r="S30" s="20"/>
      <c r="T30" s="20"/>
      <c r="U30" s="20"/>
      <c r="V30" s="20"/>
      <c r="W30" s="20"/>
      <c r="X30" s="20"/>
      <c r="Y30" s="20"/>
      <c r="AC30" s="48"/>
      <c r="AD30" s="49"/>
      <c r="AP30" s="50"/>
    </row>
    <row r="31" ht="22.5" customHeight="1">
      <c r="Q31" s="20"/>
      <c r="R31" s="20"/>
      <c r="S31" s="20"/>
      <c r="T31" s="20"/>
      <c r="U31" s="20"/>
      <c r="V31" s="20"/>
      <c r="W31" s="20"/>
      <c r="X31" s="20"/>
      <c r="Y31" s="20"/>
      <c r="AC31" s="48"/>
      <c r="AD31" s="49"/>
      <c r="AP31" s="50"/>
    </row>
    <row r="32" ht="22.5" customHeight="1">
      <c r="Q32" s="20"/>
      <c r="R32" s="20"/>
      <c r="S32" s="20"/>
      <c r="T32" s="20"/>
      <c r="U32" s="20"/>
      <c r="V32" s="20"/>
      <c r="W32" s="20"/>
      <c r="X32" s="20"/>
      <c r="Y32" s="20"/>
      <c r="AC32" s="48"/>
      <c r="AD32" s="49"/>
      <c r="AP32" s="50"/>
    </row>
    <row r="33" ht="22.5" customHeight="1">
      <c r="Q33" s="20"/>
      <c r="R33" s="20"/>
      <c r="S33" s="20"/>
      <c r="T33" s="20"/>
      <c r="U33" s="20"/>
      <c r="V33" s="20"/>
      <c r="W33" s="20"/>
      <c r="X33" s="20"/>
      <c r="Y33" s="20"/>
      <c r="AC33" s="48"/>
      <c r="AD33" s="49"/>
      <c r="AP33" s="50"/>
    </row>
    <row r="34" ht="22.5" customHeight="1">
      <c r="Q34" s="20"/>
      <c r="R34" s="20"/>
      <c r="S34" s="20"/>
      <c r="T34" s="20"/>
      <c r="U34" s="20"/>
      <c r="V34" s="20"/>
      <c r="W34" s="20"/>
      <c r="X34" s="20"/>
      <c r="Y34" s="20"/>
      <c r="AC34" s="48"/>
      <c r="AD34" s="49"/>
      <c r="AP34" s="50"/>
    </row>
    <row r="35" ht="22.5" customHeight="1">
      <c r="Q35" s="20"/>
      <c r="R35" s="20"/>
      <c r="S35" s="20"/>
      <c r="T35" s="20"/>
      <c r="U35" s="20"/>
      <c r="V35" s="20"/>
      <c r="W35" s="20"/>
      <c r="X35" s="20"/>
      <c r="Y35" s="20"/>
      <c r="AC35" s="48"/>
      <c r="AD35" s="49"/>
      <c r="AP35" s="50"/>
    </row>
    <row r="36" ht="22.5" customHeight="1">
      <c r="Q36" s="20"/>
      <c r="R36" s="20"/>
      <c r="S36" s="20"/>
      <c r="T36" s="20"/>
      <c r="U36" s="20"/>
      <c r="V36" s="20"/>
      <c r="W36" s="20"/>
      <c r="X36" s="20"/>
      <c r="Y36" s="20"/>
      <c r="AC36" s="48"/>
      <c r="AD36" s="49"/>
      <c r="AP36" s="50"/>
    </row>
    <row r="37" ht="22.5" customHeight="1">
      <c r="Q37" s="20"/>
      <c r="R37" s="20"/>
      <c r="S37" s="20"/>
      <c r="T37" s="20"/>
      <c r="U37" s="20"/>
      <c r="V37" s="20"/>
      <c r="W37" s="20"/>
      <c r="X37" s="20"/>
      <c r="Y37" s="20"/>
      <c r="AC37" s="48"/>
      <c r="AD37" s="49"/>
      <c r="AP37" s="50"/>
    </row>
    <row r="38" ht="22.5" customHeight="1">
      <c r="Q38" s="20"/>
      <c r="R38" s="20"/>
      <c r="S38" s="20"/>
      <c r="T38" s="20"/>
      <c r="U38" s="20"/>
      <c r="V38" s="20"/>
      <c r="W38" s="20"/>
      <c r="X38" s="20"/>
      <c r="Y38" s="20"/>
      <c r="AC38" s="48"/>
      <c r="AD38" s="49"/>
      <c r="AP38" s="50"/>
    </row>
    <row r="39" ht="22.5" customHeight="1">
      <c r="Q39" s="20"/>
      <c r="R39" s="20"/>
      <c r="S39" s="20"/>
      <c r="T39" s="20"/>
      <c r="U39" s="20"/>
      <c r="V39" s="20"/>
      <c r="W39" s="20"/>
      <c r="X39" s="20"/>
      <c r="Y39" s="20"/>
      <c r="AC39" s="48"/>
      <c r="AD39" s="49"/>
      <c r="AP39" s="50"/>
    </row>
    <row r="40" ht="22.5" customHeight="1">
      <c r="Q40" s="20"/>
      <c r="R40" s="20"/>
      <c r="S40" s="20"/>
      <c r="T40" s="20"/>
      <c r="U40" s="20"/>
      <c r="V40" s="20"/>
      <c r="W40" s="20"/>
      <c r="X40" s="20"/>
      <c r="Y40" s="20"/>
      <c r="AC40" s="48"/>
      <c r="AD40" s="49"/>
      <c r="AP40" s="50"/>
    </row>
    <row r="41" ht="22.5" customHeight="1">
      <c r="Q41" s="20"/>
      <c r="R41" s="20"/>
      <c r="S41" s="20"/>
      <c r="T41" s="20"/>
      <c r="U41" s="20"/>
      <c r="V41" s="20"/>
      <c r="W41" s="20"/>
      <c r="X41" s="20"/>
      <c r="Y41" s="20"/>
      <c r="AC41" s="48"/>
      <c r="AD41" s="49"/>
      <c r="AP41" s="50"/>
    </row>
    <row r="42" ht="22.5" customHeight="1">
      <c r="Q42" s="20"/>
      <c r="R42" s="20"/>
      <c r="S42" s="20"/>
      <c r="T42" s="20"/>
      <c r="U42" s="20"/>
      <c r="V42" s="20"/>
      <c r="W42" s="20"/>
      <c r="X42" s="20"/>
      <c r="Y42" s="20"/>
      <c r="AC42" s="48"/>
      <c r="AD42" s="49"/>
      <c r="AP42" s="50"/>
    </row>
    <row r="43" ht="22.5" customHeight="1">
      <c r="Q43" s="20"/>
      <c r="R43" s="20"/>
      <c r="S43" s="20"/>
      <c r="T43" s="20"/>
      <c r="U43" s="20"/>
      <c r="V43" s="20"/>
      <c r="W43" s="20"/>
      <c r="X43" s="20"/>
      <c r="Y43" s="20"/>
      <c r="AC43" s="48"/>
      <c r="AD43" s="49"/>
      <c r="AP43" s="50"/>
    </row>
    <row r="44" ht="22.5" customHeight="1">
      <c r="Q44" s="20"/>
      <c r="R44" s="20"/>
      <c r="S44" s="20"/>
      <c r="T44" s="20"/>
      <c r="U44" s="20"/>
      <c r="V44" s="20"/>
      <c r="W44" s="20"/>
      <c r="X44" s="20"/>
      <c r="Y44" s="20"/>
      <c r="AC44" s="48"/>
      <c r="AD44" s="49"/>
      <c r="AP44" s="50"/>
    </row>
    <row r="45" ht="22.5" customHeight="1">
      <c r="Q45" s="20"/>
      <c r="R45" s="20"/>
      <c r="S45" s="20"/>
      <c r="T45" s="20"/>
      <c r="U45" s="20"/>
      <c r="V45" s="20"/>
      <c r="W45" s="20"/>
      <c r="X45" s="20"/>
      <c r="Y45" s="20"/>
      <c r="AC45" s="48"/>
      <c r="AD45" s="49"/>
      <c r="AP45" s="50"/>
    </row>
    <row r="46" ht="22.5" customHeight="1">
      <c r="Q46" s="20"/>
      <c r="R46" s="20"/>
      <c r="S46" s="20"/>
      <c r="T46" s="20"/>
      <c r="U46" s="20"/>
      <c r="V46" s="20"/>
      <c r="W46" s="20"/>
      <c r="X46" s="20"/>
      <c r="Y46" s="20"/>
      <c r="AC46" s="48"/>
      <c r="AD46" s="49"/>
      <c r="AP46" s="50"/>
    </row>
    <row r="47" ht="22.5" customHeight="1">
      <c r="Q47" s="20"/>
      <c r="R47" s="20"/>
      <c r="S47" s="20"/>
      <c r="T47" s="20"/>
      <c r="U47" s="20"/>
      <c r="V47" s="20"/>
      <c r="W47" s="20"/>
      <c r="X47" s="20"/>
      <c r="Y47" s="20"/>
      <c r="AC47" s="48"/>
      <c r="AD47" s="49"/>
      <c r="AP47" s="50"/>
    </row>
    <row r="48" ht="22.5" customHeight="1">
      <c r="Q48" s="20"/>
      <c r="R48" s="20"/>
      <c r="S48" s="20"/>
      <c r="T48" s="20"/>
      <c r="U48" s="20"/>
      <c r="V48" s="20"/>
      <c r="W48" s="20"/>
      <c r="X48" s="20"/>
      <c r="Y48" s="20"/>
      <c r="AC48" s="48"/>
      <c r="AD48" s="49"/>
      <c r="AP48" s="50"/>
    </row>
    <row r="49" ht="22.5" customHeight="1">
      <c r="Q49" s="20"/>
      <c r="R49" s="20"/>
      <c r="S49" s="20"/>
      <c r="T49" s="20"/>
      <c r="U49" s="20"/>
      <c r="V49" s="20"/>
      <c r="W49" s="20"/>
      <c r="X49" s="20"/>
      <c r="Y49" s="20"/>
      <c r="AC49" s="48"/>
      <c r="AD49" s="49"/>
      <c r="AP49" s="50"/>
    </row>
    <row r="50" ht="22.5" customHeight="1">
      <c r="Q50" s="20"/>
      <c r="R50" s="20"/>
      <c r="S50" s="20"/>
      <c r="T50" s="20"/>
      <c r="U50" s="20"/>
      <c r="V50" s="20"/>
      <c r="W50" s="20"/>
      <c r="X50" s="20"/>
      <c r="Y50" s="20"/>
      <c r="AC50" s="48"/>
      <c r="AD50" s="49"/>
      <c r="AP50" s="50"/>
    </row>
    <row r="51">
      <c r="AC51" s="48"/>
      <c r="AD51" s="49"/>
      <c r="AP51" s="50"/>
    </row>
    <row r="52">
      <c r="AC52" s="48"/>
      <c r="AD52" s="49"/>
      <c r="AP52" s="50"/>
    </row>
    <row r="53">
      <c r="AC53" s="48"/>
      <c r="AD53" s="49"/>
      <c r="AP53" s="50"/>
    </row>
    <row r="54">
      <c r="AC54" s="48"/>
      <c r="AD54" s="49"/>
      <c r="AP54" s="50"/>
    </row>
    <row r="55">
      <c r="AC55" s="48"/>
      <c r="AD55" s="49"/>
      <c r="AP55" s="50"/>
    </row>
    <row r="56">
      <c r="AC56" s="48"/>
      <c r="AD56" s="49"/>
      <c r="AP56" s="50"/>
    </row>
    <row r="57">
      <c r="AC57" s="48"/>
      <c r="AD57" s="49"/>
      <c r="AP57" s="50"/>
    </row>
    <row r="58">
      <c r="AC58" s="48"/>
      <c r="AD58" s="49"/>
      <c r="AP58" s="50"/>
    </row>
    <row r="59">
      <c r="AC59" s="48"/>
      <c r="AD59" s="49"/>
      <c r="AP59" s="50"/>
    </row>
    <row r="60">
      <c r="AC60" s="48"/>
      <c r="AD60" s="49"/>
      <c r="AP60" s="50"/>
    </row>
    <row r="61">
      <c r="AC61" s="48"/>
      <c r="AD61" s="49"/>
      <c r="AP61" s="50"/>
    </row>
    <row r="62">
      <c r="AC62" s="48"/>
      <c r="AD62" s="49"/>
      <c r="AP62" s="50"/>
    </row>
    <row r="63">
      <c r="AC63" s="48"/>
      <c r="AD63" s="49"/>
      <c r="AP63" s="50"/>
    </row>
    <row r="64">
      <c r="AC64" s="48"/>
      <c r="AD64" s="49"/>
      <c r="AP64" s="50"/>
    </row>
    <row r="65">
      <c r="AC65" s="48"/>
      <c r="AD65" s="49"/>
      <c r="AP65" s="50"/>
    </row>
    <row r="66">
      <c r="AC66" s="48"/>
      <c r="AD66" s="49"/>
      <c r="AP66" s="50"/>
    </row>
    <row r="67">
      <c r="AC67" s="48"/>
      <c r="AD67" s="49"/>
      <c r="AP67" s="50"/>
    </row>
    <row r="68">
      <c r="AC68" s="48"/>
      <c r="AD68" s="49"/>
      <c r="AP68" s="50"/>
    </row>
    <row r="69">
      <c r="AC69" s="48"/>
      <c r="AD69" s="49"/>
      <c r="AP69" s="50"/>
    </row>
    <row r="70">
      <c r="AC70" s="48"/>
      <c r="AD70" s="49"/>
      <c r="AP70" s="50"/>
    </row>
    <row r="71">
      <c r="AC71" s="48"/>
      <c r="AD71" s="49"/>
      <c r="AP71" s="50"/>
    </row>
    <row r="72">
      <c r="AC72" s="48"/>
      <c r="AD72" s="49"/>
      <c r="AP72" s="50"/>
    </row>
    <row r="73">
      <c r="AC73" s="48"/>
      <c r="AD73" s="49"/>
      <c r="AP73" s="50"/>
    </row>
    <row r="74">
      <c r="AC74" s="48"/>
      <c r="AD74" s="49"/>
      <c r="AP74" s="50"/>
    </row>
    <row r="75">
      <c r="AC75" s="48"/>
      <c r="AD75" s="49"/>
      <c r="AP75" s="50"/>
    </row>
    <row r="76">
      <c r="AC76" s="48"/>
      <c r="AD76" s="49"/>
      <c r="AP76" s="50"/>
    </row>
    <row r="77">
      <c r="AC77" s="48"/>
      <c r="AD77" s="49"/>
      <c r="AP77" s="50"/>
    </row>
    <row r="78">
      <c r="AC78" s="48"/>
      <c r="AD78" s="49"/>
      <c r="AP78" s="50"/>
    </row>
    <row r="79">
      <c r="AC79" s="48"/>
      <c r="AD79" s="49"/>
      <c r="AP79" s="50"/>
    </row>
    <row r="80">
      <c r="AC80" s="48"/>
      <c r="AD80" s="49"/>
      <c r="AP80" s="50"/>
    </row>
    <row r="81">
      <c r="AC81" s="48"/>
      <c r="AD81" s="49"/>
      <c r="AP81" s="50"/>
    </row>
    <row r="82">
      <c r="AC82" s="48"/>
      <c r="AD82" s="49"/>
      <c r="AP82" s="50"/>
    </row>
    <row r="83">
      <c r="AC83" s="48"/>
      <c r="AD83" s="49"/>
      <c r="AP83" s="50"/>
    </row>
    <row r="84">
      <c r="AC84" s="48"/>
      <c r="AD84" s="49"/>
      <c r="AP84" s="50"/>
    </row>
    <row r="85">
      <c r="AC85" s="48"/>
      <c r="AD85" s="49"/>
      <c r="AP85" s="50"/>
    </row>
    <row r="86">
      <c r="AC86" s="48"/>
      <c r="AD86" s="49"/>
      <c r="AP86" s="50"/>
    </row>
    <row r="87">
      <c r="AC87" s="48"/>
      <c r="AD87" s="49"/>
      <c r="AP87" s="50"/>
    </row>
    <row r="88">
      <c r="AC88" s="48"/>
      <c r="AD88" s="49"/>
      <c r="AP88" s="50"/>
    </row>
    <row r="89">
      <c r="AC89" s="48"/>
      <c r="AD89" s="49"/>
      <c r="AP89" s="50"/>
    </row>
    <row r="90">
      <c r="AC90" s="48"/>
      <c r="AD90" s="49"/>
      <c r="AP90" s="50"/>
    </row>
    <row r="91">
      <c r="AC91" s="48"/>
      <c r="AD91" s="49"/>
      <c r="AP91" s="50"/>
    </row>
    <row r="92">
      <c r="AC92" s="48"/>
      <c r="AD92" s="49"/>
      <c r="AP92" s="50"/>
    </row>
    <row r="93">
      <c r="AC93" s="48"/>
      <c r="AD93" s="49"/>
      <c r="AP93" s="50"/>
    </row>
    <row r="94">
      <c r="AC94" s="48"/>
      <c r="AD94" s="49"/>
      <c r="AP94" s="50"/>
    </row>
    <row r="95">
      <c r="AC95" s="48"/>
      <c r="AD95" s="49"/>
      <c r="AP95" s="50"/>
    </row>
    <row r="96">
      <c r="AC96" s="48"/>
      <c r="AD96" s="49"/>
      <c r="AP96" s="50"/>
    </row>
    <row r="97">
      <c r="AC97" s="48"/>
      <c r="AD97" s="49"/>
      <c r="AP97" s="50"/>
    </row>
    <row r="98">
      <c r="AC98" s="48"/>
      <c r="AD98" s="49"/>
      <c r="AP98" s="50"/>
    </row>
    <row r="99">
      <c r="AC99" s="48"/>
      <c r="AD99" s="49"/>
      <c r="AP99" s="50"/>
    </row>
    <row r="100">
      <c r="AC100" s="48"/>
      <c r="AD100" s="49"/>
      <c r="AP100" s="50"/>
    </row>
    <row r="101">
      <c r="AC101" s="48"/>
      <c r="AD101" s="49"/>
      <c r="AP101" s="50"/>
    </row>
    <row r="102">
      <c r="AC102" s="48"/>
      <c r="AD102" s="49"/>
      <c r="AP102" s="50"/>
    </row>
    <row r="103">
      <c r="AC103" s="48"/>
      <c r="AD103" s="49"/>
      <c r="AP103" s="50"/>
    </row>
    <row r="104">
      <c r="AC104" s="48"/>
      <c r="AD104" s="49"/>
      <c r="AP104" s="50"/>
    </row>
    <row r="105">
      <c r="AC105" s="48"/>
      <c r="AD105" s="49"/>
      <c r="AP105" s="50"/>
    </row>
    <row r="106">
      <c r="AC106" s="48"/>
      <c r="AD106" s="49"/>
      <c r="AP106" s="50"/>
    </row>
    <row r="107">
      <c r="AC107" s="48"/>
      <c r="AD107" s="49"/>
      <c r="AP107" s="50"/>
    </row>
    <row r="108">
      <c r="AC108" s="48"/>
      <c r="AD108" s="49"/>
      <c r="AP108" s="50"/>
    </row>
    <row r="109">
      <c r="AC109" s="48"/>
      <c r="AD109" s="49"/>
      <c r="AP109" s="50"/>
    </row>
    <row r="110">
      <c r="AC110" s="48"/>
      <c r="AD110" s="49"/>
      <c r="AP110" s="50"/>
    </row>
    <row r="111">
      <c r="AC111" s="48"/>
      <c r="AD111" s="49"/>
      <c r="AP111" s="50"/>
    </row>
    <row r="112">
      <c r="AC112" s="48"/>
      <c r="AD112" s="49"/>
      <c r="AP112" s="50"/>
    </row>
    <row r="113">
      <c r="AC113" s="48"/>
      <c r="AD113" s="49"/>
      <c r="AP113" s="50"/>
    </row>
    <row r="114">
      <c r="AC114" s="48"/>
      <c r="AD114" s="49"/>
      <c r="AP114" s="50"/>
    </row>
    <row r="115">
      <c r="AC115" s="48"/>
      <c r="AD115" s="49"/>
      <c r="AP115" s="50"/>
    </row>
    <row r="116">
      <c r="AC116" s="48"/>
      <c r="AD116" s="49"/>
      <c r="AP116" s="50"/>
    </row>
    <row r="117">
      <c r="AC117" s="48"/>
      <c r="AD117" s="49"/>
      <c r="AP117" s="50"/>
    </row>
    <row r="118">
      <c r="AC118" s="48"/>
      <c r="AD118" s="49"/>
      <c r="AP118" s="50"/>
    </row>
    <row r="119">
      <c r="AC119" s="48"/>
      <c r="AD119" s="49"/>
      <c r="AP119" s="50"/>
    </row>
    <row r="120">
      <c r="AC120" s="48"/>
      <c r="AD120" s="49"/>
      <c r="AP120" s="50"/>
    </row>
    <row r="121">
      <c r="AC121" s="48"/>
      <c r="AD121" s="49"/>
      <c r="AP121" s="50"/>
    </row>
    <row r="122">
      <c r="AC122" s="48"/>
      <c r="AD122" s="49"/>
      <c r="AP122" s="50"/>
    </row>
    <row r="123">
      <c r="AC123" s="48"/>
      <c r="AD123" s="49"/>
      <c r="AP123" s="50"/>
    </row>
    <row r="124">
      <c r="AC124" s="48"/>
      <c r="AD124" s="49"/>
      <c r="AP124" s="50"/>
    </row>
    <row r="125">
      <c r="AC125" s="48"/>
      <c r="AD125" s="49"/>
      <c r="AP125" s="50"/>
    </row>
    <row r="126">
      <c r="AC126" s="48"/>
      <c r="AD126" s="49"/>
      <c r="AP126" s="50"/>
    </row>
    <row r="127">
      <c r="AC127" s="48"/>
      <c r="AD127" s="49"/>
      <c r="AP127" s="50"/>
    </row>
    <row r="128">
      <c r="AC128" s="48"/>
      <c r="AD128" s="49"/>
      <c r="AP128" s="50"/>
    </row>
    <row r="129">
      <c r="AC129" s="48"/>
      <c r="AD129" s="49"/>
      <c r="AP129" s="50"/>
    </row>
    <row r="130">
      <c r="AC130" s="48"/>
      <c r="AD130" s="49"/>
      <c r="AP130" s="50"/>
    </row>
    <row r="131">
      <c r="AC131" s="48"/>
      <c r="AD131" s="49"/>
      <c r="AP131" s="50"/>
    </row>
    <row r="132">
      <c r="AC132" s="48"/>
      <c r="AD132" s="49"/>
      <c r="AP132" s="50"/>
    </row>
    <row r="133">
      <c r="AC133" s="48"/>
      <c r="AD133" s="49"/>
      <c r="AP133" s="50"/>
    </row>
    <row r="134">
      <c r="AC134" s="48"/>
      <c r="AD134" s="49"/>
      <c r="AP134" s="50"/>
    </row>
    <row r="135">
      <c r="AC135" s="48"/>
      <c r="AD135" s="49"/>
      <c r="AP135" s="50"/>
    </row>
    <row r="136">
      <c r="AC136" s="48"/>
      <c r="AD136" s="49"/>
      <c r="AP136" s="50"/>
    </row>
    <row r="137">
      <c r="AC137" s="48"/>
      <c r="AD137" s="49"/>
      <c r="AP137" s="50"/>
    </row>
    <row r="138">
      <c r="AC138" s="48"/>
      <c r="AD138" s="49"/>
      <c r="AP138" s="50"/>
    </row>
    <row r="139">
      <c r="AC139" s="48"/>
      <c r="AD139" s="49"/>
      <c r="AP139" s="50"/>
    </row>
    <row r="140">
      <c r="AC140" s="48"/>
      <c r="AD140" s="49"/>
      <c r="AP140" s="50"/>
    </row>
    <row r="141">
      <c r="AC141" s="48"/>
      <c r="AD141" s="49"/>
      <c r="AP141" s="50"/>
    </row>
    <row r="142">
      <c r="AC142" s="48"/>
      <c r="AD142" s="49"/>
      <c r="AP142" s="50"/>
    </row>
    <row r="143">
      <c r="AC143" s="48"/>
      <c r="AD143" s="49"/>
      <c r="AP143" s="50"/>
    </row>
    <row r="144">
      <c r="AC144" s="48"/>
      <c r="AD144" s="49"/>
      <c r="AP144" s="50"/>
    </row>
    <row r="145">
      <c r="AC145" s="48"/>
      <c r="AD145" s="49"/>
      <c r="AP145" s="50"/>
    </row>
    <row r="146">
      <c r="AC146" s="48"/>
      <c r="AD146" s="49"/>
      <c r="AP146" s="50"/>
    </row>
    <row r="147">
      <c r="AC147" s="48"/>
      <c r="AD147" s="49"/>
      <c r="AP147" s="50"/>
    </row>
    <row r="148">
      <c r="AC148" s="48"/>
      <c r="AD148" s="49"/>
      <c r="AP148" s="50"/>
    </row>
    <row r="149">
      <c r="AC149" s="48"/>
      <c r="AD149" s="49"/>
      <c r="AP149" s="50"/>
    </row>
    <row r="150">
      <c r="AC150" s="48"/>
      <c r="AD150" s="49"/>
      <c r="AP150" s="50"/>
    </row>
    <row r="151">
      <c r="AC151" s="48"/>
      <c r="AD151" s="49"/>
      <c r="AP151" s="50"/>
    </row>
    <row r="152">
      <c r="AC152" s="48"/>
      <c r="AD152" s="49"/>
      <c r="AP152" s="50"/>
    </row>
    <row r="153">
      <c r="AC153" s="48"/>
      <c r="AD153" s="49"/>
      <c r="AP153" s="50"/>
    </row>
    <row r="154">
      <c r="AC154" s="48"/>
      <c r="AD154" s="49"/>
      <c r="AP154" s="50"/>
    </row>
    <row r="155">
      <c r="AC155" s="48"/>
      <c r="AD155" s="49"/>
      <c r="AP155" s="50"/>
    </row>
    <row r="156">
      <c r="AC156" s="48"/>
      <c r="AD156" s="49"/>
      <c r="AP156" s="50"/>
    </row>
    <row r="157">
      <c r="AC157" s="48"/>
      <c r="AD157" s="49"/>
      <c r="AP157" s="50"/>
    </row>
    <row r="158">
      <c r="AC158" s="48"/>
      <c r="AD158" s="49"/>
      <c r="AP158" s="50"/>
    </row>
    <row r="159">
      <c r="AC159" s="48"/>
      <c r="AD159" s="49"/>
      <c r="AP159" s="50"/>
    </row>
    <row r="160">
      <c r="AC160" s="48"/>
      <c r="AD160" s="49"/>
      <c r="AP160" s="50"/>
    </row>
    <row r="161">
      <c r="AC161" s="48"/>
      <c r="AD161" s="49"/>
      <c r="AP161" s="50"/>
    </row>
    <row r="162">
      <c r="AC162" s="48"/>
      <c r="AD162" s="49"/>
      <c r="AP162" s="50"/>
    </row>
    <row r="163">
      <c r="AC163" s="48"/>
      <c r="AD163" s="49"/>
      <c r="AP163" s="50"/>
    </row>
    <row r="164">
      <c r="AC164" s="48"/>
      <c r="AD164" s="49"/>
      <c r="AP164" s="50"/>
    </row>
    <row r="165">
      <c r="AC165" s="48"/>
      <c r="AD165" s="49"/>
      <c r="AP165" s="50"/>
    </row>
    <row r="166">
      <c r="AC166" s="48"/>
      <c r="AD166" s="49"/>
      <c r="AP166" s="50"/>
    </row>
    <row r="167">
      <c r="AC167" s="48"/>
      <c r="AD167" s="49"/>
      <c r="AP167" s="50"/>
    </row>
    <row r="168">
      <c r="AC168" s="48"/>
      <c r="AD168" s="49"/>
      <c r="AP168" s="50"/>
    </row>
    <row r="169">
      <c r="AC169" s="48"/>
      <c r="AD169" s="49"/>
      <c r="AP169" s="50"/>
    </row>
    <row r="170">
      <c r="AC170" s="48"/>
      <c r="AD170" s="49"/>
      <c r="AP170" s="50"/>
    </row>
    <row r="171">
      <c r="AC171" s="48"/>
      <c r="AD171" s="49"/>
      <c r="AP171" s="50"/>
    </row>
    <row r="172">
      <c r="AC172" s="48"/>
      <c r="AD172" s="49"/>
      <c r="AP172" s="50"/>
    </row>
    <row r="173">
      <c r="AC173" s="48"/>
      <c r="AD173" s="49"/>
      <c r="AP173" s="50"/>
    </row>
    <row r="174">
      <c r="AC174" s="48"/>
      <c r="AD174" s="49"/>
      <c r="AP174" s="50"/>
    </row>
    <row r="175">
      <c r="AC175" s="48"/>
      <c r="AD175" s="49"/>
      <c r="AP175" s="50"/>
    </row>
    <row r="176">
      <c r="AC176" s="48"/>
      <c r="AD176" s="49"/>
      <c r="AP176" s="50"/>
    </row>
    <row r="177">
      <c r="AC177" s="48"/>
      <c r="AD177" s="49"/>
      <c r="AP177" s="50"/>
    </row>
    <row r="178">
      <c r="AC178" s="48"/>
      <c r="AD178" s="49"/>
      <c r="AP178" s="50"/>
    </row>
    <row r="179">
      <c r="AC179" s="48"/>
      <c r="AD179" s="49"/>
      <c r="AP179" s="50"/>
    </row>
    <row r="180">
      <c r="AC180" s="48"/>
      <c r="AD180" s="49"/>
      <c r="AP180" s="50"/>
    </row>
    <row r="181">
      <c r="AC181" s="48"/>
      <c r="AD181" s="49"/>
      <c r="AP181" s="50"/>
    </row>
    <row r="182">
      <c r="AC182" s="48"/>
      <c r="AD182" s="49"/>
      <c r="AP182" s="50"/>
    </row>
    <row r="183">
      <c r="AC183" s="48"/>
      <c r="AD183" s="49"/>
      <c r="AP183" s="50"/>
    </row>
    <row r="184">
      <c r="AC184" s="48"/>
      <c r="AD184" s="49"/>
      <c r="AP184" s="50"/>
    </row>
    <row r="185">
      <c r="AC185" s="48"/>
      <c r="AD185" s="49"/>
      <c r="AP185" s="50"/>
    </row>
    <row r="186">
      <c r="AC186" s="48"/>
      <c r="AD186" s="49"/>
      <c r="AP186" s="50"/>
    </row>
    <row r="187">
      <c r="AC187" s="48"/>
      <c r="AD187" s="49"/>
      <c r="AP187" s="50"/>
    </row>
    <row r="188">
      <c r="AC188" s="48"/>
      <c r="AD188" s="49"/>
      <c r="AP188" s="50"/>
    </row>
    <row r="189">
      <c r="AC189" s="48"/>
      <c r="AD189" s="49"/>
      <c r="AP189" s="50"/>
    </row>
    <row r="190">
      <c r="AC190" s="48"/>
      <c r="AD190" s="49"/>
      <c r="AP190" s="50"/>
    </row>
    <row r="191">
      <c r="AC191" s="48"/>
      <c r="AD191" s="49"/>
      <c r="AP191" s="50"/>
    </row>
    <row r="192">
      <c r="AC192" s="48"/>
      <c r="AD192" s="49"/>
      <c r="AP192" s="50"/>
    </row>
    <row r="193">
      <c r="AC193" s="48"/>
      <c r="AD193" s="49"/>
      <c r="AP193" s="50"/>
    </row>
    <row r="194">
      <c r="AC194" s="48"/>
      <c r="AD194" s="49"/>
      <c r="AP194" s="50"/>
    </row>
    <row r="195">
      <c r="AC195" s="48"/>
      <c r="AD195" s="49"/>
      <c r="AP195" s="50"/>
    </row>
    <row r="196">
      <c r="AC196" s="48"/>
      <c r="AD196" s="49"/>
      <c r="AP196" s="50"/>
    </row>
    <row r="197">
      <c r="AC197" s="48"/>
      <c r="AD197" s="49"/>
      <c r="AP197" s="50"/>
    </row>
    <row r="198">
      <c r="AC198" s="48"/>
      <c r="AD198" s="49"/>
      <c r="AP198" s="50"/>
    </row>
    <row r="199">
      <c r="AC199" s="48"/>
      <c r="AD199" s="49"/>
      <c r="AP199" s="50"/>
    </row>
    <row r="200">
      <c r="AC200" s="48"/>
      <c r="AD200" s="49"/>
      <c r="AP200" s="50"/>
    </row>
    <row r="201">
      <c r="AC201" s="48"/>
      <c r="AD201" s="49"/>
      <c r="AP201" s="50"/>
    </row>
    <row r="202">
      <c r="AC202" s="48"/>
      <c r="AD202" s="49"/>
      <c r="AP202" s="50"/>
    </row>
    <row r="203">
      <c r="AC203" s="48"/>
      <c r="AD203" s="49"/>
      <c r="AP203" s="50"/>
    </row>
    <row r="204">
      <c r="AC204" s="48"/>
      <c r="AD204" s="49"/>
      <c r="AP204" s="50"/>
    </row>
    <row r="205">
      <c r="AC205" s="48"/>
      <c r="AD205" s="49"/>
      <c r="AP205" s="50"/>
    </row>
    <row r="206">
      <c r="AC206" s="48"/>
      <c r="AD206" s="49"/>
      <c r="AP206" s="50"/>
    </row>
    <row r="207">
      <c r="AC207" s="48"/>
      <c r="AD207" s="49"/>
      <c r="AP207" s="50"/>
    </row>
    <row r="208">
      <c r="AC208" s="48"/>
      <c r="AD208" s="49"/>
      <c r="AP208" s="50"/>
    </row>
    <row r="209">
      <c r="AC209" s="48"/>
      <c r="AD209" s="49"/>
      <c r="AP209" s="50"/>
    </row>
    <row r="210">
      <c r="AC210" s="48"/>
      <c r="AD210" s="49"/>
      <c r="AP210" s="50"/>
    </row>
    <row r="211">
      <c r="AC211" s="48"/>
      <c r="AD211" s="49"/>
      <c r="AP211" s="50"/>
    </row>
    <row r="212">
      <c r="AC212" s="48"/>
      <c r="AD212" s="49"/>
      <c r="AP212" s="50"/>
    </row>
    <row r="213">
      <c r="AC213" s="48"/>
      <c r="AD213" s="49"/>
      <c r="AP213" s="50"/>
    </row>
    <row r="214">
      <c r="AC214" s="48"/>
      <c r="AD214" s="49"/>
      <c r="AP214" s="50"/>
    </row>
    <row r="215">
      <c r="AC215" s="48"/>
      <c r="AD215" s="49"/>
      <c r="AP215" s="50"/>
    </row>
    <row r="216">
      <c r="AC216" s="48"/>
      <c r="AD216" s="49"/>
      <c r="AP216" s="50"/>
    </row>
    <row r="217">
      <c r="AC217" s="48"/>
      <c r="AD217" s="49"/>
      <c r="AP217" s="50"/>
    </row>
    <row r="218">
      <c r="AC218" s="48"/>
      <c r="AD218" s="49"/>
      <c r="AP218" s="50"/>
    </row>
    <row r="219">
      <c r="AC219" s="48"/>
      <c r="AD219" s="49"/>
      <c r="AP219" s="50"/>
    </row>
    <row r="220">
      <c r="AC220" s="48"/>
      <c r="AD220" s="49"/>
      <c r="AP220" s="50"/>
    </row>
    <row r="221">
      <c r="AC221" s="48"/>
      <c r="AD221" s="49"/>
      <c r="AP221" s="50"/>
    </row>
    <row r="222">
      <c r="AC222" s="48"/>
      <c r="AD222" s="49"/>
      <c r="AP222" s="50"/>
    </row>
    <row r="223">
      <c r="AC223" s="48"/>
      <c r="AD223" s="49"/>
      <c r="AP223" s="50"/>
    </row>
    <row r="224">
      <c r="AC224" s="48"/>
      <c r="AD224" s="49"/>
      <c r="AP224" s="50"/>
    </row>
    <row r="225">
      <c r="AC225" s="48"/>
      <c r="AD225" s="49"/>
      <c r="AP225" s="50"/>
    </row>
    <row r="226">
      <c r="AC226" s="48"/>
      <c r="AD226" s="49"/>
      <c r="AP226" s="50"/>
    </row>
    <row r="227">
      <c r="AC227" s="48"/>
      <c r="AD227" s="49"/>
      <c r="AP227" s="50"/>
    </row>
    <row r="228">
      <c r="AC228" s="48"/>
      <c r="AD228" s="49"/>
      <c r="AP228" s="50"/>
    </row>
    <row r="229">
      <c r="AC229" s="48"/>
      <c r="AD229" s="49"/>
      <c r="AP229" s="50"/>
    </row>
    <row r="230">
      <c r="AC230" s="48"/>
      <c r="AD230" s="49"/>
      <c r="AP230" s="50"/>
    </row>
    <row r="231">
      <c r="AC231" s="48"/>
      <c r="AD231" s="49"/>
      <c r="AP231" s="50"/>
    </row>
    <row r="232">
      <c r="AC232" s="48"/>
      <c r="AD232" s="49"/>
      <c r="AP232" s="50"/>
    </row>
    <row r="233">
      <c r="AC233" s="48"/>
      <c r="AD233" s="49"/>
      <c r="AP233" s="50"/>
    </row>
    <row r="234">
      <c r="AC234" s="48"/>
      <c r="AD234" s="49"/>
      <c r="AP234" s="50"/>
    </row>
    <row r="235">
      <c r="AC235" s="48"/>
      <c r="AD235" s="49"/>
      <c r="AP235" s="50"/>
    </row>
    <row r="236">
      <c r="AC236" s="48"/>
      <c r="AD236" s="49"/>
      <c r="AP236" s="50"/>
    </row>
    <row r="237">
      <c r="AC237" s="48"/>
      <c r="AD237" s="49"/>
      <c r="AP237" s="50"/>
    </row>
    <row r="238">
      <c r="AC238" s="48"/>
      <c r="AD238" s="49"/>
      <c r="AP238" s="50"/>
    </row>
    <row r="239">
      <c r="AC239" s="48"/>
      <c r="AD239" s="49"/>
      <c r="AP239" s="50"/>
    </row>
    <row r="240">
      <c r="AC240" s="48"/>
      <c r="AD240" s="49"/>
      <c r="AP240" s="50"/>
    </row>
    <row r="241">
      <c r="AC241" s="48"/>
      <c r="AD241" s="49"/>
      <c r="AP241" s="50"/>
    </row>
    <row r="242">
      <c r="AC242" s="48"/>
      <c r="AD242" s="49"/>
      <c r="AP242" s="50"/>
    </row>
    <row r="243">
      <c r="AC243" s="48"/>
      <c r="AD243" s="49"/>
      <c r="AP243" s="50"/>
    </row>
    <row r="244">
      <c r="AC244" s="48"/>
      <c r="AD244" s="49"/>
      <c r="AP244" s="50"/>
    </row>
    <row r="245">
      <c r="AC245" s="48"/>
      <c r="AD245" s="49"/>
      <c r="AP245" s="50"/>
    </row>
    <row r="246">
      <c r="AC246" s="48"/>
      <c r="AD246" s="49"/>
      <c r="AP246" s="50"/>
    </row>
    <row r="247">
      <c r="AC247" s="48"/>
      <c r="AD247" s="49"/>
      <c r="AP247" s="50"/>
    </row>
    <row r="248">
      <c r="AC248" s="48"/>
      <c r="AD248" s="49"/>
      <c r="AP248" s="50"/>
    </row>
    <row r="249">
      <c r="AC249" s="48"/>
      <c r="AD249" s="49"/>
      <c r="AP249" s="50"/>
    </row>
    <row r="250">
      <c r="AC250" s="48"/>
      <c r="AD250" s="49"/>
      <c r="AP250" s="50"/>
    </row>
    <row r="251">
      <c r="AC251" s="48"/>
      <c r="AD251" s="49"/>
      <c r="AP251" s="50"/>
    </row>
    <row r="252">
      <c r="AC252" s="48"/>
      <c r="AD252" s="49"/>
      <c r="AP252" s="50"/>
    </row>
    <row r="253">
      <c r="AC253" s="48"/>
      <c r="AD253" s="49"/>
      <c r="AP253" s="50"/>
    </row>
    <row r="254">
      <c r="AC254" s="48"/>
      <c r="AD254" s="49"/>
      <c r="AP254" s="50"/>
    </row>
    <row r="255">
      <c r="AC255" s="48"/>
      <c r="AD255" s="49"/>
      <c r="AP255" s="50"/>
    </row>
    <row r="256">
      <c r="AC256" s="48"/>
      <c r="AD256" s="49"/>
      <c r="AP256" s="50"/>
    </row>
    <row r="257">
      <c r="AC257" s="48"/>
      <c r="AD257" s="49"/>
      <c r="AP257" s="50"/>
    </row>
    <row r="258">
      <c r="AC258" s="48"/>
      <c r="AD258" s="49"/>
      <c r="AP258" s="50"/>
    </row>
    <row r="259">
      <c r="AC259" s="48"/>
      <c r="AD259" s="49"/>
      <c r="AP259" s="50"/>
    </row>
    <row r="260">
      <c r="AC260" s="48"/>
      <c r="AD260" s="49"/>
      <c r="AP260" s="50"/>
    </row>
    <row r="261">
      <c r="AC261" s="48"/>
      <c r="AD261" s="49"/>
      <c r="AP261" s="50"/>
    </row>
    <row r="262">
      <c r="AC262" s="48"/>
      <c r="AD262" s="49"/>
      <c r="AP262" s="50"/>
    </row>
    <row r="263">
      <c r="AC263" s="48"/>
      <c r="AD263" s="49"/>
      <c r="AP263" s="50"/>
    </row>
    <row r="264">
      <c r="AC264" s="48"/>
      <c r="AD264" s="49"/>
      <c r="AP264" s="50"/>
    </row>
    <row r="265">
      <c r="AC265" s="48"/>
      <c r="AD265" s="49"/>
      <c r="AP265" s="50"/>
    </row>
    <row r="266">
      <c r="AC266" s="48"/>
      <c r="AD266" s="49"/>
      <c r="AP266" s="50"/>
    </row>
    <row r="267">
      <c r="AC267" s="48"/>
      <c r="AD267" s="49"/>
      <c r="AP267" s="50"/>
    </row>
    <row r="268">
      <c r="AC268" s="48"/>
      <c r="AD268" s="49"/>
      <c r="AP268" s="50"/>
    </row>
    <row r="269">
      <c r="AC269" s="48"/>
      <c r="AD269" s="49"/>
      <c r="AP269" s="50"/>
    </row>
    <row r="270">
      <c r="AC270" s="48"/>
      <c r="AD270" s="49"/>
      <c r="AP270" s="50"/>
    </row>
    <row r="271">
      <c r="AC271" s="48"/>
      <c r="AD271" s="49"/>
      <c r="AP271" s="50"/>
    </row>
    <row r="272">
      <c r="AC272" s="48"/>
      <c r="AD272" s="49"/>
      <c r="AP272" s="50"/>
    </row>
    <row r="273">
      <c r="AC273" s="48"/>
      <c r="AD273" s="49"/>
      <c r="AP273" s="50"/>
    </row>
    <row r="274">
      <c r="AC274" s="48"/>
      <c r="AD274" s="49"/>
      <c r="AP274" s="50"/>
    </row>
    <row r="275">
      <c r="AC275" s="48"/>
      <c r="AD275" s="49"/>
      <c r="AP275" s="50"/>
    </row>
    <row r="276">
      <c r="AC276" s="48"/>
      <c r="AD276" s="49"/>
      <c r="AP276" s="50"/>
    </row>
    <row r="277">
      <c r="AC277" s="48"/>
      <c r="AD277" s="49"/>
      <c r="AP277" s="50"/>
    </row>
    <row r="278">
      <c r="AC278" s="48"/>
      <c r="AD278" s="49"/>
      <c r="AP278" s="50"/>
    </row>
    <row r="279">
      <c r="AC279" s="48"/>
      <c r="AD279" s="49"/>
      <c r="AP279" s="50"/>
    </row>
    <row r="280">
      <c r="AC280" s="48"/>
      <c r="AD280" s="49"/>
      <c r="AP280" s="50"/>
    </row>
    <row r="281">
      <c r="AC281" s="48"/>
      <c r="AD281" s="49"/>
      <c r="AP281" s="50"/>
    </row>
    <row r="282">
      <c r="AC282" s="48"/>
      <c r="AD282" s="49"/>
      <c r="AP282" s="50"/>
    </row>
    <row r="283">
      <c r="AC283" s="48"/>
      <c r="AD283" s="49"/>
      <c r="AP283" s="50"/>
    </row>
    <row r="284">
      <c r="AC284" s="48"/>
      <c r="AD284" s="49"/>
      <c r="AP284" s="50"/>
    </row>
    <row r="285">
      <c r="AC285" s="48"/>
      <c r="AD285" s="49"/>
      <c r="AP285" s="50"/>
    </row>
    <row r="286">
      <c r="AC286" s="48"/>
      <c r="AD286" s="49"/>
      <c r="AP286" s="50"/>
    </row>
    <row r="287">
      <c r="AC287" s="48"/>
      <c r="AD287" s="49"/>
      <c r="AP287" s="50"/>
    </row>
    <row r="288">
      <c r="AC288" s="48"/>
      <c r="AD288" s="49"/>
      <c r="AP288" s="50"/>
    </row>
    <row r="289">
      <c r="AC289" s="48"/>
      <c r="AD289" s="49"/>
      <c r="AP289" s="50"/>
    </row>
    <row r="290">
      <c r="AC290" s="48"/>
      <c r="AD290" s="49"/>
      <c r="AP290" s="50"/>
    </row>
    <row r="291">
      <c r="AC291" s="48"/>
      <c r="AD291" s="49"/>
      <c r="AP291" s="50"/>
    </row>
    <row r="292">
      <c r="AC292" s="48"/>
      <c r="AD292" s="49"/>
      <c r="AP292" s="50"/>
    </row>
    <row r="293">
      <c r="AC293" s="48"/>
      <c r="AD293" s="49"/>
      <c r="AP293" s="50"/>
    </row>
    <row r="294">
      <c r="AC294" s="48"/>
      <c r="AD294" s="49"/>
      <c r="AP294" s="50"/>
    </row>
    <row r="295">
      <c r="AC295" s="48"/>
      <c r="AD295" s="49"/>
      <c r="AP295" s="50"/>
    </row>
    <row r="296">
      <c r="AC296" s="48"/>
      <c r="AD296" s="49"/>
      <c r="AP296" s="50"/>
    </row>
    <row r="297">
      <c r="AC297" s="48"/>
      <c r="AD297" s="49"/>
      <c r="AP297" s="50"/>
    </row>
    <row r="298">
      <c r="AC298" s="48"/>
      <c r="AD298" s="49"/>
      <c r="AP298" s="50"/>
    </row>
    <row r="299">
      <c r="AC299" s="48"/>
      <c r="AD299" s="49"/>
      <c r="AP299" s="50"/>
    </row>
    <row r="300">
      <c r="AC300" s="48"/>
      <c r="AD300" s="49"/>
      <c r="AP300" s="50"/>
    </row>
    <row r="301">
      <c r="AC301" s="48"/>
      <c r="AD301" s="49"/>
      <c r="AP301" s="50"/>
    </row>
    <row r="302">
      <c r="AC302" s="48"/>
      <c r="AD302" s="49"/>
      <c r="AP302" s="50"/>
    </row>
    <row r="303">
      <c r="AC303" s="48"/>
      <c r="AD303" s="49"/>
      <c r="AP303" s="50"/>
    </row>
    <row r="304">
      <c r="AC304" s="48"/>
      <c r="AD304" s="49"/>
      <c r="AP304" s="50"/>
    </row>
    <row r="305">
      <c r="AC305" s="48"/>
      <c r="AD305" s="49"/>
      <c r="AP305" s="50"/>
    </row>
    <row r="306">
      <c r="AC306" s="48"/>
      <c r="AD306" s="49"/>
      <c r="AP306" s="50"/>
    </row>
    <row r="307">
      <c r="AC307" s="48"/>
      <c r="AD307" s="49"/>
      <c r="AP307" s="50"/>
    </row>
    <row r="308">
      <c r="AC308" s="48"/>
      <c r="AD308" s="49"/>
      <c r="AP308" s="50"/>
    </row>
    <row r="309">
      <c r="AC309" s="48"/>
      <c r="AD309" s="49"/>
      <c r="AP309" s="50"/>
    </row>
    <row r="310">
      <c r="AC310" s="48"/>
      <c r="AD310" s="49"/>
      <c r="AP310" s="50"/>
    </row>
    <row r="311">
      <c r="AC311" s="48"/>
      <c r="AD311" s="49"/>
      <c r="AP311" s="50"/>
    </row>
    <row r="312">
      <c r="AC312" s="48"/>
      <c r="AD312" s="49"/>
      <c r="AP312" s="50"/>
    </row>
    <row r="313">
      <c r="AC313" s="48"/>
      <c r="AD313" s="49"/>
      <c r="AP313" s="50"/>
    </row>
    <row r="314">
      <c r="AC314" s="48"/>
      <c r="AD314" s="49"/>
      <c r="AP314" s="50"/>
    </row>
    <row r="315">
      <c r="AC315" s="48"/>
      <c r="AD315" s="49"/>
      <c r="AP315" s="50"/>
    </row>
    <row r="316">
      <c r="AC316" s="48"/>
      <c r="AD316" s="49"/>
      <c r="AP316" s="50"/>
    </row>
    <row r="317">
      <c r="AC317" s="48"/>
      <c r="AD317" s="49"/>
      <c r="AP317" s="50"/>
    </row>
    <row r="318">
      <c r="AC318" s="48"/>
      <c r="AD318" s="49"/>
      <c r="AP318" s="50"/>
    </row>
    <row r="319">
      <c r="AC319" s="48"/>
      <c r="AD319" s="49"/>
      <c r="AP319" s="50"/>
    </row>
    <row r="320">
      <c r="AC320" s="48"/>
      <c r="AD320" s="49"/>
      <c r="AP320" s="50"/>
    </row>
    <row r="321">
      <c r="AC321" s="48"/>
      <c r="AD321" s="49"/>
      <c r="AP321" s="50"/>
    </row>
    <row r="322">
      <c r="AC322" s="48"/>
      <c r="AD322" s="49"/>
      <c r="AP322" s="50"/>
    </row>
    <row r="323">
      <c r="AC323" s="48"/>
      <c r="AD323" s="49"/>
      <c r="AP323" s="50"/>
    </row>
    <row r="324">
      <c r="AC324" s="48"/>
      <c r="AD324" s="49"/>
      <c r="AP324" s="50"/>
    </row>
    <row r="325">
      <c r="AC325" s="48"/>
      <c r="AD325" s="49"/>
      <c r="AP325" s="50"/>
    </row>
    <row r="326">
      <c r="AC326" s="48"/>
      <c r="AD326" s="49"/>
      <c r="AP326" s="50"/>
    </row>
    <row r="327">
      <c r="AC327" s="48"/>
      <c r="AD327" s="49"/>
      <c r="AP327" s="50"/>
    </row>
    <row r="328">
      <c r="AC328" s="48"/>
      <c r="AD328" s="49"/>
      <c r="AP328" s="50"/>
    </row>
    <row r="329">
      <c r="AC329" s="48"/>
      <c r="AD329" s="49"/>
      <c r="AP329" s="50"/>
    </row>
    <row r="330">
      <c r="AC330" s="48"/>
      <c r="AD330" s="49"/>
      <c r="AP330" s="50"/>
    </row>
    <row r="331">
      <c r="AC331" s="48"/>
      <c r="AD331" s="49"/>
      <c r="AP331" s="50"/>
    </row>
    <row r="332">
      <c r="AC332" s="48"/>
      <c r="AD332" s="49"/>
      <c r="AP332" s="50"/>
    </row>
    <row r="333">
      <c r="AC333" s="48"/>
      <c r="AD333" s="49"/>
      <c r="AP333" s="50"/>
    </row>
    <row r="334">
      <c r="AC334" s="48"/>
      <c r="AD334" s="49"/>
      <c r="AP334" s="50"/>
    </row>
    <row r="335">
      <c r="AC335" s="48"/>
      <c r="AD335" s="49"/>
      <c r="AP335" s="50"/>
    </row>
    <row r="336">
      <c r="AC336" s="48"/>
      <c r="AD336" s="49"/>
      <c r="AP336" s="50"/>
    </row>
    <row r="337">
      <c r="AC337" s="48"/>
      <c r="AD337" s="49"/>
      <c r="AP337" s="50"/>
    </row>
    <row r="338">
      <c r="AC338" s="48"/>
      <c r="AD338" s="49"/>
      <c r="AP338" s="50"/>
    </row>
    <row r="339">
      <c r="AC339" s="48"/>
      <c r="AD339" s="49"/>
      <c r="AP339" s="50"/>
    </row>
    <row r="340">
      <c r="AC340" s="48"/>
      <c r="AD340" s="49"/>
      <c r="AP340" s="50"/>
    </row>
    <row r="341">
      <c r="AC341" s="48"/>
      <c r="AD341" s="49"/>
      <c r="AP341" s="50"/>
    </row>
    <row r="342">
      <c r="AC342" s="48"/>
      <c r="AD342" s="49"/>
      <c r="AP342" s="50"/>
    </row>
    <row r="343">
      <c r="AC343" s="48"/>
      <c r="AD343" s="49"/>
      <c r="AP343" s="50"/>
    </row>
    <row r="344">
      <c r="AC344" s="48"/>
      <c r="AD344" s="49"/>
      <c r="AP344" s="50"/>
    </row>
    <row r="345">
      <c r="AC345" s="48"/>
      <c r="AD345" s="49"/>
      <c r="AP345" s="50"/>
    </row>
    <row r="346">
      <c r="AC346" s="48"/>
      <c r="AD346" s="49"/>
      <c r="AP346" s="50"/>
    </row>
    <row r="347">
      <c r="AC347" s="48"/>
      <c r="AD347" s="49"/>
      <c r="AP347" s="50"/>
    </row>
    <row r="348">
      <c r="AC348" s="48"/>
      <c r="AD348" s="49"/>
      <c r="AP348" s="50"/>
    </row>
    <row r="349">
      <c r="AC349" s="48"/>
      <c r="AD349" s="49"/>
      <c r="AP349" s="50"/>
    </row>
    <row r="350">
      <c r="AC350" s="48"/>
      <c r="AD350" s="49"/>
      <c r="AP350" s="50"/>
    </row>
    <row r="351">
      <c r="AC351" s="48"/>
      <c r="AD351" s="49"/>
      <c r="AP351" s="50"/>
    </row>
    <row r="352">
      <c r="AC352" s="48"/>
      <c r="AD352" s="49"/>
      <c r="AP352" s="50"/>
    </row>
    <row r="353">
      <c r="AC353" s="48"/>
      <c r="AD353" s="49"/>
      <c r="AP353" s="50"/>
    </row>
    <row r="354">
      <c r="AC354" s="48"/>
      <c r="AD354" s="49"/>
      <c r="AP354" s="50"/>
    </row>
    <row r="355">
      <c r="AC355" s="48"/>
      <c r="AD355" s="49"/>
      <c r="AP355" s="50"/>
    </row>
    <row r="356">
      <c r="AC356" s="48"/>
      <c r="AD356" s="49"/>
      <c r="AP356" s="50"/>
    </row>
    <row r="357">
      <c r="AC357" s="48"/>
      <c r="AD357" s="49"/>
      <c r="AP357" s="50"/>
    </row>
    <row r="358">
      <c r="AC358" s="48"/>
      <c r="AD358" s="49"/>
      <c r="AP358" s="50"/>
    </row>
    <row r="359">
      <c r="AC359" s="48"/>
      <c r="AD359" s="49"/>
      <c r="AP359" s="50"/>
    </row>
    <row r="360">
      <c r="AC360" s="48"/>
      <c r="AD360" s="49"/>
      <c r="AP360" s="50"/>
    </row>
    <row r="361">
      <c r="AC361" s="48"/>
      <c r="AD361" s="49"/>
      <c r="AP361" s="50"/>
    </row>
    <row r="362">
      <c r="AC362" s="48"/>
      <c r="AD362" s="49"/>
      <c r="AP362" s="50"/>
    </row>
    <row r="363">
      <c r="AC363" s="48"/>
      <c r="AD363" s="49"/>
      <c r="AP363" s="50"/>
    </row>
    <row r="364">
      <c r="AC364" s="48"/>
      <c r="AD364" s="49"/>
      <c r="AP364" s="50"/>
    </row>
    <row r="365">
      <c r="AC365" s="48"/>
      <c r="AD365" s="49"/>
      <c r="AP365" s="50"/>
    </row>
    <row r="366">
      <c r="AC366" s="48"/>
      <c r="AD366" s="49"/>
      <c r="AP366" s="50"/>
    </row>
    <row r="367">
      <c r="AC367" s="48"/>
      <c r="AD367" s="49"/>
      <c r="AP367" s="50"/>
    </row>
    <row r="368">
      <c r="AC368" s="48"/>
      <c r="AD368" s="49"/>
      <c r="AP368" s="50"/>
    </row>
    <row r="369">
      <c r="AC369" s="48"/>
      <c r="AD369" s="49"/>
      <c r="AP369" s="50"/>
    </row>
    <row r="370">
      <c r="AC370" s="48"/>
      <c r="AD370" s="49"/>
      <c r="AP370" s="50"/>
    </row>
    <row r="371">
      <c r="AC371" s="48"/>
      <c r="AD371" s="49"/>
      <c r="AP371" s="50"/>
    </row>
    <row r="372">
      <c r="AC372" s="48"/>
      <c r="AD372" s="49"/>
      <c r="AP372" s="50"/>
    </row>
    <row r="373">
      <c r="AC373" s="48"/>
      <c r="AD373" s="49"/>
      <c r="AP373" s="50"/>
    </row>
    <row r="374">
      <c r="AC374" s="48"/>
      <c r="AD374" s="49"/>
      <c r="AP374" s="50"/>
    </row>
    <row r="375">
      <c r="AC375" s="48"/>
      <c r="AD375" s="49"/>
      <c r="AP375" s="50"/>
    </row>
    <row r="376">
      <c r="AC376" s="48"/>
      <c r="AD376" s="49"/>
      <c r="AP376" s="50"/>
    </row>
    <row r="377">
      <c r="AC377" s="48"/>
      <c r="AD377" s="49"/>
      <c r="AP377" s="50"/>
    </row>
    <row r="378">
      <c r="AC378" s="48"/>
      <c r="AD378" s="49"/>
      <c r="AP378" s="50"/>
    </row>
    <row r="379">
      <c r="AC379" s="48"/>
      <c r="AD379" s="49"/>
      <c r="AP379" s="50"/>
    </row>
    <row r="380">
      <c r="AC380" s="48"/>
      <c r="AD380" s="49"/>
      <c r="AP380" s="50"/>
    </row>
    <row r="381">
      <c r="AC381" s="48"/>
      <c r="AD381" s="49"/>
      <c r="AP381" s="50"/>
    </row>
    <row r="382">
      <c r="AC382" s="48"/>
      <c r="AD382" s="49"/>
      <c r="AP382" s="50"/>
    </row>
    <row r="383">
      <c r="AC383" s="48"/>
      <c r="AD383" s="49"/>
      <c r="AP383" s="50"/>
    </row>
    <row r="384">
      <c r="AC384" s="48"/>
      <c r="AD384" s="49"/>
      <c r="AP384" s="50"/>
    </row>
    <row r="385">
      <c r="AC385" s="48"/>
      <c r="AD385" s="49"/>
      <c r="AP385" s="50"/>
    </row>
    <row r="386">
      <c r="AC386" s="48"/>
      <c r="AD386" s="49"/>
      <c r="AP386" s="50"/>
    </row>
    <row r="387">
      <c r="AC387" s="48"/>
      <c r="AD387" s="49"/>
      <c r="AP387" s="50"/>
    </row>
    <row r="388">
      <c r="AC388" s="48"/>
      <c r="AD388" s="49"/>
      <c r="AP388" s="50"/>
    </row>
    <row r="389">
      <c r="AC389" s="48"/>
      <c r="AD389" s="49"/>
      <c r="AP389" s="50"/>
    </row>
    <row r="390">
      <c r="AC390" s="48"/>
      <c r="AD390" s="49"/>
      <c r="AP390" s="50"/>
    </row>
    <row r="391">
      <c r="AC391" s="48"/>
      <c r="AD391" s="49"/>
      <c r="AP391" s="50"/>
    </row>
    <row r="392">
      <c r="AC392" s="48"/>
      <c r="AD392" s="49"/>
      <c r="AP392" s="50"/>
    </row>
    <row r="393">
      <c r="AC393" s="48"/>
      <c r="AD393" s="49"/>
      <c r="AP393" s="50"/>
    </row>
    <row r="394">
      <c r="AC394" s="48"/>
      <c r="AD394" s="49"/>
      <c r="AP394" s="50"/>
    </row>
    <row r="395">
      <c r="AC395" s="48"/>
      <c r="AD395" s="49"/>
      <c r="AP395" s="50"/>
    </row>
    <row r="396">
      <c r="AC396" s="48"/>
      <c r="AD396" s="49"/>
      <c r="AP396" s="50"/>
    </row>
    <row r="397">
      <c r="AC397" s="48"/>
      <c r="AD397" s="49"/>
      <c r="AP397" s="50"/>
    </row>
    <row r="398">
      <c r="AC398" s="48"/>
      <c r="AD398" s="49"/>
      <c r="AP398" s="50"/>
    </row>
    <row r="399">
      <c r="AC399" s="48"/>
      <c r="AD399" s="49"/>
      <c r="AP399" s="50"/>
    </row>
    <row r="400">
      <c r="AC400" s="48"/>
      <c r="AD400" s="49"/>
      <c r="AP400" s="50"/>
    </row>
    <row r="401">
      <c r="AC401" s="48"/>
      <c r="AD401" s="49"/>
      <c r="AP401" s="50"/>
    </row>
    <row r="402">
      <c r="AC402" s="48"/>
      <c r="AD402" s="49"/>
      <c r="AP402" s="50"/>
    </row>
    <row r="403">
      <c r="AC403" s="48"/>
      <c r="AD403" s="49"/>
      <c r="AP403" s="50"/>
    </row>
    <row r="404">
      <c r="AC404" s="48"/>
      <c r="AD404" s="49"/>
      <c r="AP404" s="50"/>
    </row>
    <row r="405">
      <c r="AC405" s="48"/>
      <c r="AD405" s="49"/>
      <c r="AP405" s="50"/>
    </row>
    <row r="406">
      <c r="AC406" s="48"/>
      <c r="AD406" s="49"/>
      <c r="AP406" s="50"/>
    </row>
    <row r="407">
      <c r="AC407" s="48"/>
      <c r="AD407" s="49"/>
      <c r="AP407" s="50"/>
    </row>
    <row r="408">
      <c r="AC408" s="48"/>
      <c r="AD408" s="49"/>
      <c r="AP408" s="50"/>
    </row>
    <row r="409">
      <c r="AC409" s="48"/>
      <c r="AD409" s="49"/>
      <c r="AP409" s="50"/>
    </row>
    <row r="410">
      <c r="AC410" s="48"/>
      <c r="AD410" s="49"/>
      <c r="AP410" s="50"/>
    </row>
    <row r="411">
      <c r="AC411" s="48"/>
      <c r="AD411" s="49"/>
      <c r="AP411" s="50"/>
    </row>
    <row r="412">
      <c r="AC412" s="48"/>
      <c r="AD412" s="49"/>
      <c r="AP412" s="50"/>
    </row>
    <row r="413">
      <c r="AC413" s="48"/>
      <c r="AD413" s="49"/>
      <c r="AP413" s="50"/>
    </row>
    <row r="414">
      <c r="AC414" s="48"/>
      <c r="AD414" s="49"/>
      <c r="AP414" s="50"/>
    </row>
    <row r="415">
      <c r="AC415" s="48"/>
      <c r="AD415" s="49"/>
      <c r="AP415" s="50"/>
    </row>
    <row r="416">
      <c r="AC416" s="48"/>
      <c r="AD416" s="49"/>
      <c r="AP416" s="50"/>
    </row>
    <row r="417">
      <c r="AC417" s="48"/>
      <c r="AD417" s="49"/>
      <c r="AP417" s="50"/>
    </row>
    <row r="418">
      <c r="AC418" s="48"/>
      <c r="AD418" s="49"/>
      <c r="AP418" s="50"/>
    </row>
    <row r="419">
      <c r="AC419" s="48"/>
      <c r="AD419" s="49"/>
      <c r="AP419" s="50"/>
    </row>
    <row r="420">
      <c r="AC420" s="48"/>
      <c r="AD420" s="49"/>
      <c r="AP420" s="50"/>
    </row>
    <row r="421">
      <c r="AC421" s="48"/>
      <c r="AD421" s="49"/>
      <c r="AP421" s="50"/>
    </row>
    <row r="422">
      <c r="AC422" s="48"/>
      <c r="AD422" s="49"/>
      <c r="AP422" s="50"/>
    </row>
    <row r="423">
      <c r="AC423" s="48"/>
      <c r="AD423" s="49"/>
      <c r="AP423" s="50"/>
    </row>
    <row r="424">
      <c r="AC424" s="48"/>
      <c r="AD424" s="49"/>
      <c r="AP424" s="50"/>
    </row>
    <row r="425">
      <c r="AC425" s="48"/>
      <c r="AD425" s="49"/>
      <c r="AP425" s="50"/>
    </row>
    <row r="426">
      <c r="AC426" s="48"/>
      <c r="AD426" s="49"/>
      <c r="AP426" s="50"/>
    </row>
    <row r="427">
      <c r="AC427" s="48"/>
      <c r="AD427" s="49"/>
      <c r="AP427" s="50"/>
    </row>
    <row r="428">
      <c r="AC428" s="48"/>
      <c r="AD428" s="49"/>
      <c r="AP428" s="50"/>
    </row>
    <row r="429">
      <c r="AC429" s="48"/>
      <c r="AD429" s="49"/>
      <c r="AP429" s="50"/>
    </row>
    <row r="430">
      <c r="AC430" s="48"/>
      <c r="AD430" s="49"/>
      <c r="AP430" s="50"/>
    </row>
    <row r="431">
      <c r="AC431" s="48"/>
      <c r="AD431" s="49"/>
      <c r="AP431" s="50"/>
    </row>
    <row r="432">
      <c r="AC432" s="48"/>
      <c r="AD432" s="49"/>
      <c r="AP432" s="50"/>
    </row>
    <row r="433">
      <c r="AC433" s="48"/>
      <c r="AD433" s="49"/>
      <c r="AP433" s="50"/>
    </row>
    <row r="434">
      <c r="AC434" s="48"/>
      <c r="AD434" s="49"/>
      <c r="AP434" s="50"/>
    </row>
    <row r="435">
      <c r="AC435" s="48"/>
      <c r="AD435" s="49"/>
      <c r="AP435" s="50"/>
    </row>
    <row r="436">
      <c r="AC436" s="48"/>
      <c r="AD436" s="49"/>
      <c r="AP436" s="50"/>
    </row>
    <row r="437">
      <c r="AC437" s="48"/>
      <c r="AD437" s="49"/>
      <c r="AP437" s="50"/>
    </row>
    <row r="438">
      <c r="AC438" s="48"/>
      <c r="AD438" s="49"/>
      <c r="AP438" s="50"/>
    </row>
    <row r="439">
      <c r="AC439" s="48"/>
      <c r="AD439" s="49"/>
      <c r="AP439" s="50"/>
    </row>
    <row r="440">
      <c r="AC440" s="48"/>
      <c r="AD440" s="49"/>
      <c r="AP440" s="50"/>
    </row>
    <row r="441">
      <c r="AC441" s="48"/>
      <c r="AD441" s="49"/>
      <c r="AP441" s="50"/>
    </row>
    <row r="442">
      <c r="AC442" s="48"/>
      <c r="AD442" s="49"/>
      <c r="AP442" s="50"/>
    </row>
    <row r="443">
      <c r="AC443" s="48"/>
      <c r="AD443" s="49"/>
      <c r="AP443" s="50"/>
    </row>
    <row r="444">
      <c r="AC444" s="48"/>
      <c r="AD444" s="49"/>
      <c r="AP444" s="50"/>
    </row>
    <row r="445">
      <c r="AC445" s="48"/>
      <c r="AD445" s="49"/>
      <c r="AP445" s="50"/>
    </row>
    <row r="446">
      <c r="AC446" s="48"/>
      <c r="AD446" s="49"/>
      <c r="AP446" s="50"/>
    </row>
    <row r="447">
      <c r="AC447" s="48"/>
      <c r="AD447" s="49"/>
      <c r="AP447" s="50"/>
    </row>
    <row r="448">
      <c r="AC448" s="48"/>
      <c r="AD448" s="49"/>
      <c r="AP448" s="50"/>
    </row>
    <row r="449">
      <c r="AC449" s="48"/>
      <c r="AD449" s="49"/>
      <c r="AP449" s="50"/>
    </row>
    <row r="450">
      <c r="AC450" s="48"/>
      <c r="AD450" s="49"/>
      <c r="AP450" s="50"/>
    </row>
    <row r="451">
      <c r="AC451" s="48"/>
      <c r="AD451" s="49"/>
      <c r="AP451" s="50"/>
    </row>
    <row r="452">
      <c r="AC452" s="48"/>
      <c r="AD452" s="49"/>
      <c r="AP452" s="50"/>
    </row>
    <row r="453">
      <c r="AC453" s="48"/>
      <c r="AD453" s="49"/>
      <c r="AP453" s="50"/>
    </row>
    <row r="454">
      <c r="AC454" s="48"/>
      <c r="AD454" s="49"/>
      <c r="AP454" s="50"/>
    </row>
    <row r="455">
      <c r="AC455" s="48"/>
      <c r="AD455" s="49"/>
      <c r="AP455" s="50"/>
    </row>
    <row r="456">
      <c r="AC456" s="48"/>
      <c r="AD456" s="49"/>
      <c r="AP456" s="50"/>
    </row>
    <row r="457">
      <c r="AC457" s="48"/>
      <c r="AD457" s="49"/>
      <c r="AP457" s="50"/>
    </row>
    <row r="458">
      <c r="AC458" s="48"/>
      <c r="AD458" s="49"/>
      <c r="AP458" s="50"/>
    </row>
    <row r="459">
      <c r="AC459" s="48"/>
      <c r="AD459" s="49"/>
      <c r="AP459" s="50"/>
    </row>
    <row r="460">
      <c r="AC460" s="48"/>
      <c r="AD460" s="49"/>
      <c r="AP460" s="50"/>
    </row>
    <row r="461">
      <c r="AC461" s="48"/>
      <c r="AD461" s="49"/>
      <c r="AP461" s="50"/>
    </row>
    <row r="462">
      <c r="AC462" s="48"/>
      <c r="AD462" s="49"/>
      <c r="AP462" s="50"/>
    </row>
    <row r="463">
      <c r="AC463" s="48"/>
      <c r="AD463" s="49"/>
      <c r="AP463" s="50"/>
    </row>
    <row r="464">
      <c r="AC464" s="48"/>
      <c r="AD464" s="49"/>
      <c r="AP464" s="50"/>
    </row>
    <row r="465">
      <c r="AC465" s="48"/>
      <c r="AD465" s="49"/>
      <c r="AP465" s="50"/>
    </row>
    <row r="466">
      <c r="AC466" s="48"/>
      <c r="AD466" s="49"/>
      <c r="AP466" s="50"/>
    </row>
    <row r="467">
      <c r="AC467" s="48"/>
      <c r="AD467" s="49"/>
      <c r="AP467" s="50"/>
    </row>
    <row r="468">
      <c r="AC468" s="48"/>
      <c r="AD468" s="49"/>
      <c r="AP468" s="50"/>
    </row>
    <row r="469">
      <c r="AC469" s="48"/>
      <c r="AD469" s="49"/>
      <c r="AP469" s="50"/>
    </row>
    <row r="470">
      <c r="AC470" s="48"/>
      <c r="AD470" s="49"/>
      <c r="AP470" s="50"/>
    </row>
    <row r="471">
      <c r="AC471" s="48"/>
      <c r="AD471" s="49"/>
      <c r="AP471" s="50"/>
    </row>
    <row r="472">
      <c r="AC472" s="48"/>
      <c r="AD472" s="49"/>
      <c r="AP472" s="50"/>
    </row>
    <row r="473">
      <c r="AC473" s="48"/>
      <c r="AD473" s="49"/>
      <c r="AP473" s="50"/>
    </row>
    <row r="474">
      <c r="AC474" s="48"/>
      <c r="AD474" s="49"/>
      <c r="AP474" s="50"/>
    </row>
    <row r="475">
      <c r="AC475" s="48"/>
      <c r="AD475" s="49"/>
      <c r="AP475" s="50"/>
    </row>
    <row r="476">
      <c r="AC476" s="48"/>
      <c r="AD476" s="49"/>
      <c r="AP476" s="50"/>
    </row>
    <row r="477">
      <c r="AC477" s="48"/>
      <c r="AD477" s="49"/>
      <c r="AP477" s="50"/>
    </row>
    <row r="478">
      <c r="AC478" s="48"/>
      <c r="AD478" s="49"/>
      <c r="AP478" s="50"/>
    </row>
    <row r="479">
      <c r="AC479" s="48"/>
      <c r="AD479" s="49"/>
      <c r="AP479" s="50"/>
    </row>
    <row r="480">
      <c r="AC480" s="48"/>
      <c r="AD480" s="49"/>
      <c r="AP480" s="50"/>
    </row>
    <row r="481">
      <c r="AC481" s="48"/>
      <c r="AD481" s="49"/>
      <c r="AP481" s="50"/>
    </row>
    <row r="482">
      <c r="AC482" s="48"/>
      <c r="AD482" s="49"/>
      <c r="AP482" s="50"/>
    </row>
    <row r="483">
      <c r="AC483" s="48"/>
      <c r="AD483" s="49"/>
      <c r="AP483" s="50"/>
    </row>
    <row r="484">
      <c r="AC484" s="48"/>
      <c r="AD484" s="49"/>
      <c r="AP484" s="50"/>
    </row>
    <row r="485">
      <c r="AC485" s="48"/>
      <c r="AD485" s="49"/>
      <c r="AP485" s="50"/>
    </row>
    <row r="486">
      <c r="AC486" s="48"/>
      <c r="AD486" s="49"/>
      <c r="AP486" s="50"/>
    </row>
    <row r="487">
      <c r="AC487" s="48"/>
      <c r="AD487" s="49"/>
      <c r="AP487" s="50"/>
    </row>
    <row r="488">
      <c r="AC488" s="48"/>
      <c r="AD488" s="49"/>
      <c r="AP488" s="50"/>
    </row>
    <row r="489">
      <c r="AC489" s="48"/>
      <c r="AD489" s="49"/>
      <c r="AP489" s="50"/>
    </row>
    <row r="490">
      <c r="AC490" s="48"/>
      <c r="AD490" s="49"/>
      <c r="AP490" s="50"/>
    </row>
    <row r="491">
      <c r="AC491" s="48"/>
      <c r="AD491" s="49"/>
      <c r="AP491" s="50"/>
    </row>
    <row r="492">
      <c r="AC492" s="48"/>
      <c r="AD492" s="49"/>
      <c r="AP492" s="50"/>
    </row>
    <row r="493">
      <c r="AC493" s="48"/>
      <c r="AD493" s="49"/>
      <c r="AP493" s="50"/>
    </row>
    <row r="494">
      <c r="AC494" s="48"/>
      <c r="AD494" s="49"/>
      <c r="AP494" s="50"/>
    </row>
    <row r="495">
      <c r="AC495" s="48"/>
      <c r="AD495" s="49"/>
      <c r="AP495" s="50"/>
    </row>
    <row r="496">
      <c r="AC496" s="48"/>
      <c r="AD496" s="49"/>
      <c r="AP496" s="50"/>
    </row>
    <row r="497">
      <c r="AC497" s="48"/>
      <c r="AD497" s="49"/>
      <c r="AP497" s="50"/>
    </row>
    <row r="498">
      <c r="AC498" s="48"/>
      <c r="AD498" s="49"/>
      <c r="AP498" s="50"/>
    </row>
    <row r="499">
      <c r="AC499" s="48"/>
      <c r="AD499" s="49"/>
      <c r="AP499" s="50"/>
    </row>
    <row r="500">
      <c r="AC500" s="48"/>
      <c r="AD500" s="49"/>
      <c r="AP500" s="50"/>
    </row>
    <row r="501">
      <c r="AC501" s="48"/>
      <c r="AD501" s="49"/>
      <c r="AP501" s="50"/>
    </row>
    <row r="502">
      <c r="AC502" s="48"/>
      <c r="AD502" s="49"/>
      <c r="AP502" s="50"/>
    </row>
    <row r="503">
      <c r="AC503" s="48"/>
      <c r="AD503" s="49"/>
      <c r="AP503" s="50"/>
    </row>
    <row r="504">
      <c r="AC504" s="48"/>
      <c r="AD504" s="49"/>
      <c r="AP504" s="50"/>
    </row>
    <row r="505">
      <c r="AC505" s="48"/>
      <c r="AD505" s="49"/>
      <c r="AP505" s="50"/>
    </row>
    <row r="506">
      <c r="AC506" s="48"/>
      <c r="AD506" s="49"/>
      <c r="AP506" s="50"/>
    </row>
    <row r="507">
      <c r="AC507" s="48"/>
      <c r="AD507" s="49"/>
      <c r="AP507" s="50"/>
    </row>
    <row r="508">
      <c r="AC508" s="48"/>
      <c r="AD508" s="49"/>
      <c r="AP508" s="50"/>
    </row>
    <row r="509">
      <c r="AC509" s="48"/>
      <c r="AD509" s="49"/>
      <c r="AP509" s="50"/>
    </row>
    <row r="510">
      <c r="AC510" s="48"/>
      <c r="AD510" s="49"/>
      <c r="AP510" s="50"/>
    </row>
    <row r="511">
      <c r="AC511" s="48"/>
      <c r="AD511" s="49"/>
      <c r="AP511" s="50"/>
    </row>
    <row r="512">
      <c r="AC512" s="48"/>
      <c r="AD512" s="49"/>
      <c r="AP512" s="50"/>
    </row>
    <row r="513">
      <c r="AC513" s="48"/>
      <c r="AD513" s="49"/>
      <c r="AP513" s="50"/>
    </row>
    <row r="514">
      <c r="AC514" s="48"/>
      <c r="AD514" s="49"/>
      <c r="AP514" s="50"/>
    </row>
    <row r="515">
      <c r="AC515" s="48"/>
      <c r="AD515" s="49"/>
      <c r="AP515" s="50"/>
    </row>
    <row r="516">
      <c r="AC516" s="48"/>
      <c r="AD516" s="49"/>
      <c r="AP516" s="50"/>
    </row>
    <row r="517">
      <c r="AC517" s="48"/>
      <c r="AD517" s="49"/>
      <c r="AP517" s="50"/>
    </row>
    <row r="518">
      <c r="AC518" s="48"/>
      <c r="AD518" s="49"/>
      <c r="AP518" s="50"/>
    </row>
    <row r="519">
      <c r="AC519" s="48"/>
      <c r="AD519" s="49"/>
      <c r="AP519" s="50"/>
    </row>
    <row r="520">
      <c r="AC520" s="48"/>
      <c r="AD520" s="49"/>
      <c r="AP520" s="50"/>
    </row>
    <row r="521">
      <c r="AC521" s="48"/>
      <c r="AD521" s="49"/>
      <c r="AP521" s="50"/>
    </row>
    <row r="522">
      <c r="AC522" s="48"/>
      <c r="AD522" s="49"/>
      <c r="AP522" s="50"/>
    </row>
    <row r="523">
      <c r="AC523" s="48"/>
      <c r="AD523" s="49"/>
      <c r="AP523" s="50"/>
    </row>
    <row r="524">
      <c r="AC524" s="48"/>
      <c r="AD524" s="49"/>
      <c r="AP524" s="50"/>
    </row>
    <row r="525">
      <c r="AC525" s="48"/>
      <c r="AD525" s="49"/>
      <c r="AP525" s="50"/>
    </row>
    <row r="526">
      <c r="AC526" s="48"/>
      <c r="AD526" s="49"/>
      <c r="AP526" s="50"/>
    </row>
    <row r="527">
      <c r="AC527" s="48"/>
      <c r="AD527" s="49"/>
      <c r="AP527" s="50"/>
    </row>
    <row r="528">
      <c r="AC528" s="48"/>
      <c r="AD528" s="49"/>
      <c r="AP528" s="50"/>
    </row>
    <row r="529">
      <c r="AC529" s="48"/>
      <c r="AD529" s="49"/>
      <c r="AP529" s="50"/>
    </row>
    <row r="530">
      <c r="AC530" s="48"/>
      <c r="AD530" s="49"/>
      <c r="AP530" s="50"/>
    </row>
    <row r="531">
      <c r="AC531" s="48"/>
      <c r="AD531" s="49"/>
      <c r="AP531" s="50"/>
    </row>
    <row r="532">
      <c r="AC532" s="48"/>
      <c r="AD532" s="49"/>
      <c r="AP532" s="50"/>
    </row>
    <row r="533">
      <c r="AC533" s="48"/>
      <c r="AD533" s="49"/>
      <c r="AP533" s="50"/>
    </row>
    <row r="534">
      <c r="AC534" s="48"/>
      <c r="AD534" s="49"/>
      <c r="AP534" s="50"/>
    </row>
    <row r="535">
      <c r="AC535" s="48"/>
      <c r="AD535" s="49"/>
      <c r="AP535" s="50"/>
    </row>
    <row r="536">
      <c r="AC536" s="48"/>
      <c r="AD536" s="49"/>
      <c r="AP536" s="50"/>
    </row>
    <row r="537">
      <c r="AC537" s="48"/>
      <c r="AD537" s="49"/>
      <c r="AP537" s="50"/>
    </row>
    <row r="538">
      <c r="AC538" s="48"/>
      <c r="AD538" s="49"/>
      <c r="AP538" s="50"/>
    </row>
    <row r="539">
      <c r="AC539" s="48"/>
      <c r="AD539" s="49"/>
      <c r="AP539" s="50"/>
    </row>
    <row r="540">
      <c r="AC540" s="48"/>
      <c r="AD540" s="49"/>
      <c r="AP540" s="50"/>
    </row>
    <row r="541">
      <c r="AC541" s="48"/>
      <c r="AD541" s="49"/>
      <c r="AP541" s="50"/>
    </row>
    <row r="542">
      <c r="AC542" s="48"/>
      <c r="AD542" s="49"/>
      <c r="AP542" s="50"/>
    </row>
    <row r="543">
      <c r="AC543" s="48"/>
      <c r="AD543" s="49"/>
      <c r="AP543" s="50"/>
    </row>
    <row r="544">
      <c r="AC544" s="48"/>
      <c r="AD544" s="49"/>
      <c r="AP544" s="50"/>
    </row>
    <row r="545">
      <c r="AC545" s="48"/>
      <c r="AD545" s="49"/>
      <c r="AP545" s="50"/>
    </row>
    <row r="546">
      <c r="AC546" s="48"/>
      <c r="AD546" s="49"/>
      <c r="AP546" s="50"/>
    </row>
    <row r="547">
      <c r="AC547" s="48"/>
      <c r="AD547" s="49"/>
      <c r="AP547" s="50"/>
    </row>
    <row r="548">
      <c r="AC548" s="48"/>
      <c r="AD548" s="49"/>
      <c r="AP548" s="50"/>
    </row>
    <row r="549">
      <c r="AC549" s="48"/>
      <c r="AD549" s="49"/>
      <c r="AP549" s="50"/>
    </row>
    <row r="550">
      <c r="AC550" s="48"/>
      <c r="AD550" s="49"/>
      <c r="AP550" s="50"/>
    </row>
    <row r="551">
      <c r="AC551" s="48"/>
      <c r="AD551" s="49"/>
      <c r="AP551" s="50"/>
    </row>
    <row r="552">
      <c r="AC552" s="48"/>
      <c r="AD552" s="49"/>
      <c r="AP552" s="50"/>
    </row>
    <row r="553">
      <c r="AC553" s="48"/>
      <c r="AD553" s="49"/>
      <c r="AP553" s="50"/>
    </row>
    <row r="554">
      <c r="AC554" s="48"/>
      <c r="AD554" s="49"/>
      <c r="AP554" s="50"/>
    </row>
    <row r="555">
      <c r="AC555" s="48"/>
      <c r="AD555" s="49"/>
      <c r="AP555" s="50"/>
    </row>
    <row r="556">
      <c r="AC556" s="48"/>
      <c r="AD556" s="49"/>
      <c r="AP556" s="50"/>
    </row>
    <row r="557">
      <c r="AC557" s="48"/>
      <c r="AD557" s="49"/>
      <c r="AP557" s="50"/>
    </row>
    <row r="558">
      <c r="AC558" s="48"/>
      <c r="AD558" s="49"/>
      <c r="AP558" s="50"/>
    </row>
    <row r="559">
      <c r="AC559" s="48"/>
      <c r="AD559" s="49"/>
      <c r="AP559" s="50"/>
    </row>
    <row r="560">
      <c r="AC560" s="48"/>
      <c r="AD560" s="49"/>
      <c r="AP560" s="50"/>
    </row>
    <row r="561">
      <c r="AC561" s="48"/>
      <c r="AD561" s="49"/>
      <c r="AP561" s="50"/>
    </row>
    <row r="562">
      <c r="AC562" s="48"/>
      <c r="AD562" s="49"/>
      <c r="AP562" s="50"/>
    </row>
    <row r="563">
      <c r="AC563" s="48"/>
      <c r="AD563" s="49"/>
      <c r="AP563" s="50"/>
    </row>
    <row r="564">
      <c r="AC564" s="48"/>
      <c r="AD564" s="49"/>
      <c r="AP564" s="50"/>
    </row>
    <row r="565">
      <c r="AC565" s="48"/>
      <c r="AD565" s="49"/>
      <c r="AP565" s="50"/>
    </row>
    <row r="566">
      <c r="AC566" s="48"/>
      <c r="AD566" s="49"/>
      <c r="AP566" s="50"/>
    </row>
    <row r="567">
      <c r="AC567" s="48"/>
      <c r="AD567" s="49"/>
      <c r="AP567" s="50"/>
    </row>
    <row r="568">
      <c r="AC568" s="48"/>
      <c r="AD568" s="49"/>
      <c r="AP568" s="50"/>
    </row>
    <row r="569">
      <c r="AC569" s="48"/>
      <c r="AD569" s="49"/>
      <c r="AP569" s="50"/>
    </row>
    <row r="570">
      <c r="AC570" s="48"/>
      <c r="AD570" s="49"/>
      <c r="AP570" s="50"/>
    </row>
    <row r="571">
      <c r="AC571" s="48"/>
      <c r="AD571" s="49"/>
      <c r="AP571" s="50"/>
    </row>
    <row r="572">
      <c r="AC572" s="48"/>
      <c r="AD572" s="49"/>
      <c r="AP572" s="50"/>
    </row>
    <row r="573">
      <c r="AC573" s="48"/>
      <c r="AD573" s="49"/>
      <c r="AP573" s="50"/>
    </row>
    <row r="574">
      <c r="AC574" s="48"/>
      <c r="AD574" s="49"/>
      <c r="AP574" s="50"/>
    </row>
    <row r="575">
      <c r="AC575" s="48"/>
      <c r="AD575" s="49"/>
      <c r="AP575" s="50"/>
    </row>
    <row r="576">
      <c r="AC576" s="48"/>
      <c r="AD576" s="49"/>
      <c r="AP576" s="50"/>
    </row>
    <row r="577">
      <c r="AC577" s="48"/>
      <c r="AD577" s="49"/>
      <c r="AP577" s="50"/>
    </row>
    <row r="578">
      <c r="AC578" s="48"/>
      <c r="AD578" s="49"/>
      <c r="AP578" s="50"/>
    </row>
    <row r="579">
      <c r="AC579" s="48"/>
      <c r="AD579" s="49"/>
      <c r="AP579" s="50"/>
    </row>
    <row r="580">
      <c r="AC580" s="48"/>
      <c r="AD580" s="49"/>
      <c r="AP580" s="50"/>
    </row>
    <row r="581">
      <c r="AC581" s="48"/>
      <c r="AD581" s="49"/>
      <c r="AP581" s="50"/>
    </row>
    <row r="582">
      <c r="AC582" s="48"/>
      <c r="AD582" s="49"/>
      <c r="AP582" s="50"/>
    </row>
    <row r="583">
      <c r="AC583" s="48"/>
      <c r="AD583" s="49"/>
      <c r="AP583" s="50"/>
    </row>
    <row r="584">
      <c r="AC584" s="48"/>
      <c r="AD584" s="49"/>
      <c r="AP584" s="50"/>
    </row>
    <row r="585">
      <c r="AC585" s="48"/>
      <c r="AD585" s="49"/>
      <c r="AP585" s="50"/>
    </row>
    <row r="586">
      <c r="AC586" s="48"/>
      <c r="AD586" s="49"/>
      <c r="AP586" s="50"/>
    </row>
    <row r="587">
      <c r="AC587" s="48"/>
      <c r="AD587" s="49"/>
      <c r="AP587" s="50"/>
    </row>
    <row r="588">
      <c r="AC588" s="48"/>
      <c r="AD588" s="49"/>
      <c r="AP588" s="50"/>
    </row>
    <row r="589">
      <c r="AC589" s="48"/>
      <c r="AD589" s="49"/>
      <c r="AP589" s="50"/>
    </row>
    <row r="590">
      <c r="AC590" s="48"/>
      <c r="AD590" s="49"/>
      <c r="AP590" s="50"/>
    </row>
    <row r="591">
      <c r="AC591" s="48"/>
      <c r="AD591" s="49"/>
      <c r="AP591" s="50"/>
    </row>
    <row r="592">
      <c r="AC592" s="48"/>
      <c r="AD592" s="49"/>
      <c r="AP592" s="50"/>
    </row>
    <row r="593">
      <c r="AC593" s="48"/>
      <c r="AD593" s="49"/>
      <c r="AP593" s="50"/>
    </row>
    <row r="594">
      <c r="AC594" s="48"/>
      <c r="AD594" s="49"/>
      <c r="AP594" s="50"/>
    </row>
    <row r="595">
      <c r="AC595" s="48"/>
      <c r="AD595" s="49"/>
      <c r="AP595" s="50"/>
    </row>
    <row r="596">
      <c r="AC596" s="48"/>
      <c r="AD596" s="49"/>
      <c r="AP596" s="50"/>
    </row>
    <row r="597">
      <c r="AC597" s="48"/>
      <c r="AD597" s="49"/>
      <c r="AP597" s="50"/>
    </row>
    <row r="598">
      <c r="AC598" s="48"/>
      <c r="AD598" s="49"/>
      <c r="AP598" s="50"/>
    </row>
    <row r="599">
      <c r="AC599" s="48"/>
      <c r="AD599" s="49"/>
      <c r="AP599" s="50"/>
    </row>
    <row r="600">
      <c r="AC600" s="48"/>
      <c r="AD600" s="49"/>
      <c r="AP600" s="50"/>
    </row>
    <row r="601">
      <c r="AC601" s="48"/>
      <c r="AD601" s="49"/>
      <c r="AP601" s="50"/>
    </row>
    <row r="602">
      <c r="AC602" s="48"/>
      <c r="AD602" s="49"/>
      <c r="AP602" s="50"/>
    </row>
    <row r="603">
      <c r="AC603" s="48"/>
      <c r="AD603" s="49"/>
      <c r="AP603" s="50"/>
    </row>
    <row r="604">
      <c r="AC604" s="48"/>
      <c r="AD604" s="49"/>
      <c r="AP604" s="50"/>
    </row>
    <row r="605">
      <c r="AC605" s="48"/>
      <c r="AD605" s="49"/>
      <c r="AP605" s="50"/>
    </row>
    <row r="606">
      <c r="AC606" s="48"/>
      <c r="AD606" s="49"/>
      <c r="AP606" s="50"/>
    </row>
    <row r="607">
      <c r="AC607" s="48"/>
      <c r="AD607" s="49"/>
      <c r="AP607" s="50"/>
    </row>
    <row r="608">
      <c r="AC608" s="48"/>
      <c r="AD608" s="49"/>
      <c r="AP608" s="50"/>
    </row>
    <row r="609">
      <c r="AC609" s="48"/>
      <c r="AD609" s="49"/>
      <c r="AP609" s="50"/>
    </row>
    <row r="610">
      <c r="AC610" s="48"/>
      <c r="AD610" s="49"/>
      <c r="AP610" s="50"/>
    </row>
    <row r="611">
      <c r="AC611" s="48"/>
      <c r="AD611" s="49"/>
      <c r="AP611" s="50"/>
    </row>
    <row r="612">
      <c r="AC612" s="48"/>
      <c r="AD612" s="49"/>
      <c r="AP612" s="50"/>
    </row>
    <row r="613">
      <c r="AC613" s="48"/>
      <c r="AD613" s="49"/>
      <c r="AP613" s="50"/>
    </row>
    <row r="614">
      <c r="AC614" s="48"/>
      <c r="AD614" s="49"/>
      <c r="AP614" s="50"/>
    </row>
    <row r="615">
      <c r="AC615" s="48"/>
      <c r="AD615" s="49"/>
      <c r="AP615" s="50"/>
    </row>
    <row r="616">
      <c r="AC616" s="48"/>
      <c r="AD616" s="49"/>
      <c r="AP616" s="50"/>
    </row>
    <row r="617">
      <c r="AC617" s="48"/>
      <c r="AD617" s="49"/>
      <c r="AP617" s="50"/>
    </row>
    <row r="618">
      <c r="AC618" s="48"/>
      <c r="AD618" s="49"/>
      <c r="AP618" s="50"/>
    </row>
    <row r="619">
      <c r="AC619" s="48"/>
      <c r="AD619" s="49"/>
      <c r="AP619" s="50"/>
    </row>
    <row r="620">
      <c r="AC620" s="48"/>
      <c r="AD620" s="49"/>
      <c r="AP620" s="50"/>
    </row>
    <row r="621">
      <c r="AC621" s="48"/>
      <c r="AD621" s="49"/>
      <c r="AP621" s="50"/>
    </row>
    <row r="622">
      <c r="AC622" s="48"/>
      <c r="AD622" s="49"/>
      <c r="AP622" s="50"/>
    </row>
    <row r="623">
      <c r="AC623" s="48"/>
      <c r="AD623" s="49"/>
      <c r="AP623" s="50"/>
    </row>
    <row r="624">
      <c r="AC624" s="48"/>
      <c r="AD624" s="49"/>
      <c r="AP624" s="50"/>
    </row>
    <row r="625">
      <c r="AC625" s="48"/>
      <c r="AD625" s="49"/>
      <c r="AP625" s="50"/>
    </row>
    <row r="626">
      <c r="AC626" s="48"/>
      <c r="AD626" s="49"/>
      <c r="AP626" s="50"/>
    </row>
    <row r="627">
      <c r="AC627" s="48"/>
      <c r="AD627" s="49"/>
      <c r="AP627" s="50"/>
    </row>
    <row r="628">
      <c r="AC628" s="48"/>
      <c r="AD628" s="49"/>
      <c r="AP628" s="50"/>
    </row>
    <row r="629">
      <c r="AC629" s="48"/>
      <c r="AD629" s="49"/>
      <c r="AP629" s="50"/>
    </row>
    <row r="630">
      <c r="AC630" s="48"/>
      <c r="AD630" s="49"/>
      <c r="AP630" s="50"/>
    </row>
    <row r="631">
      <c r="AC631" s="48"/>
      <c r="AD631" s="49"/>
      <c r="AP631" s="50"/>
    </row>
    <row r="632">
      <c r="AC632" s="48"/>
      <c r="AD632" s="49"/>
      <c r="AP632" s="50"/>
    </row>
    <row r="633">
      <c r="AC633" s="48"/>
      <c r="AD633" s="49"/>
      <c r="AP633" s="50"/>
    </row>
    <row r="634">
      <c r="AC634" s="48"/>
      <c r="AD634" s="49"/>
      <c r="AP634" s="50"/>
    </row>
    <row r="635">
      <c r="AC635" s="48"/>
      <c r="AD635" s="49"/>
      <c r="AP635" s="50"/>
    </row>
    <row r="636">
      <c r="AC636" s="48"/>
      <c r="AD636" s="49"/>
      <c r="AP636" s="50"/>
    </row>
    <row r="637">
      <c r="AC637" s="48"/>
      <c r="AD637" s="49"/>
      <c r="AP637" s="50"/>
    </row>
    <row r="638">
      <c r="AC638" s="48"/>
      <c r="AD638" s="49"/>
      <c r="AP638" s="50"/>
    </row>
    <row r="639">
      <c r="AC639" s="48"/>
      <c r="AD639" s="49"/>
      <c r="AP639" s="50"/>
    </row>
    <row r="640">
      <c r="AC640" s="48"/>
      <c r="AD640" s="49"/>
      <c r="AP640" s="50"/>
    </row>
    <row r="641">
      <c r="AC641" s="48"/>
      <c r="AD641" s="49"/>
      <c r="AP641" s="50"/>
    </row>
    <row r="642">
      <c r="AC642" s="48"/>
      <c r="AD642" s="49"/>
      <c r="AP642" s="50"/>
    </row>
    <row r="643">
      <c r="AC643" s="48"/>
      <c r="AD643" s="49"/>
      <c r="AP643" s="50"/>
    </row>
    <row r="644">
      <c r="AC644" s="48"/>
      <c r="AD644" s="49"/>
      <c r="AP644" s="50"/>
    </row>
    <row r="645">
      <c r="AC645" s="48"/>
      <c r="AD645" s="49"/>
      <c r="AP645" s="50"/>
    </row>
    <row r="646">
      <c r="AC646" s="48"/>
      <c r="AD646" s="49"/>
      <c r="AP646" s="50"/>
    </row>
    <row r="647">
      <c r="AC647" s="48"/>
      <c r="AD647" s="49"/>
      <c r="AP647" s="50"/>
    </row>
    <row r="648">
      <c r="AC648" s="48"/>
      <c r="AD648" s="49"/>
      <c r="AP648" s="50"/>
    </row>
    <row r="649">
      <c r="AC649" s="48"/>
      <c r="AD649" s="49"/>
      <c r="AP649" s="50"/>
    </row>
    <row r="650">
      <c r="AC650" s="48"/>
      <c r="AD650" s="49"/>
      <c r="AP650" s="50"/>
    </row>
    <row r="651">
      <c r="AC651" s="48"/>
      <c r="AD651" s="49"/>
      <c r="AP651" s="50"/>
    </row>
    <row r="652">
      <c r="AC652" s="48"/>
      <c r="AD652" s="49"/>
      <c r="AP652" s="50"/>
    </row>
    <row r="653">
      <c r="AC653" s="48"/>
      <c r="AD653" s="49"/>
      <c r="AP653" s="50"/>
    </row>
    <row r="654">
      <c r="AC654" s="48"/>
      <c r="AD654" s="49"/>
      <c r="AP654" s="50"/>
    </row>
    <row r="655">
      <c r="AC655" s="48"/>
      <c r="AD655" s="49"/>
      <c r="AP655" s="50"/>
    </row>
    <row r="656">
      <c r="AC656" s="48"/>
      <c r="AD656" s="49"/>
      <c r="AP656" s="50"/>
    </row>
    <row r="657">
      <c r="AC657" s="48"/>
      <c r="AD657" s="49"/>
      <c r="AP657" s="50"/>
    </row>
    <row r="658">
      <c r="AC658" s="48"/>
      <c r="AD658" s="49"/>
      <c r="AP658" s="50"/>
    </row>
    <row r="659">
      <c r="AC659" s="48"/>
      <c r="AD659" s="49"/>
      <c r="AP659" s="50"/>
    </row>
    <row r="660">
      <c r="AC660" s="48"/>
      <c r="AD660" s="49"/>
      <c r="AP660" s="50"/>
    </row>
    <row r="661">
      <c r="AC661" s="48"/>
      <c r="AD661" s="49"/>
      <c r="AP661" s="50"/>
    </row>
    <row r="662">
      <c r="AC662" s="48"/>
      <c r="AD662" s="49"/>
      <c r="AP662" s="50"/>
    </row>
    <row r="663">
      <c r="AC663" s="48"/>
      <c r="AD663" s="49"/>
      <c r="AP663" s="50"/>
    </row>
    <row r="664">
      <c r="AC664" s="48"/>
      <c r="AD664" s="49"/>
      <c r="AP664" s="50"/>
    </row>
    <row r="665">
      <c r="AC665" s="48"/>
      <c r="AD665" s="49"/>
      <c r="AP665" s="50"/>
    </row>
    <row r="666">
      <c r="AC666" s="48"/>
      <c r="AD666" s="49"/>
      <c r="AP666" s="50"/>
    </row>
    <row r="667">
      <c r="AC667" s="48"/>
      <c r="AD667" s="49"/>
      <c r="AP667" s="50"/>
    </row>
    <row r="668">
      <c r="AC668" s="48"/>
      <c r="AD668" s="49"/>
      <c r="AP668" s="50"/>
    </row>
    <row r="669">
      <c r="AC669" s="48"/>
      <c r="AD669" s="49"/>
      <c r="AP669" s="50"/>
    </row>
    <row r="670">
      <c r="AC670" s="48"/>
      <c r="AD670" s="49"/>
      <c r="AP670" s="50"/>
    </row>
    <row r="671">
      <c r="AC671" s="48"/>
      <c r="AD671" s="49"/>
      <c r="AP671" s="50"/>
    </row>
    <row r="672">
      <c r="AC672" s="48"/>
      <c r="AD672" s="49"/>
      <c r="AP672" s="50"/>
    </row>
    <row r="673">
      <c r="AC673" s="48"/>
      <c r="AD673" s="49"/>
      <c r="AP673" s="50"/>
    </row>
    <row r="674">
      <c r="AC674" s="48"/>
      <c r="AD674" s="49"/>
      <c r="AP674" s="50"/>
    </row>
    <row r="675">
      <c r="AC675" s="48"/>
      <c r="AD675" s="49"/>
      <c r="AP675" s="50"/>
    </row>
    <row r="676">
      <c r="AC676" s="48"/>
      <c r="AD676" s="49"/>
      <c r="AP676" s="50"/>
    </row>
    <row r="677">
      <c r="AC677" s="48"/>
      <c r="AD677" s="49"/>
      <c r="AP677" s="50"/>
    </row>
    <row r="678">
      <c r="AC678" s="48"/>
      <c r="AD678" s="49"/>
      <c r="AP678" s="50"/>
    </row>
    <row r="679">
      <c r="AC679" s="48"/>
      <c r="AD679" s="49"/>
      <c r="AP679" s="50"/>
    </row>
    <row r="680">
      <c r="AC680" s="48"/>
      <c r="AD680" s="49"/>
      <c r="AP680" s="50"/>
    </row>
    <row r="681">
      <c r="AC681" s="48"/>
      <c r="AD681" s="49"/>
      <c r="AP681" s="50"/>
    </row>
    <row r="682">
      <c r="AC682" s="48"/>
      <c r="AD682" s="49"/>
      <c r="AP682" s="50"/>
    </row>
    <row r="683">
      <c r="AC683" s="48"/>
      <c r="AD683" s="49"/>
      <c r="AP683" s="50"/>
    </row>
    <row r="684">
      <c r="AC684" s="48"/>
      <c r="AD684" s="49"/>
      <c r="AP684" s="50"/>
    </row>
    <row r="685">
      <c r="AC685" s="48"/>
      <c r="AD685" s="49"/>
      <c r="AP685" s="50"/>
    </row>
    <row r="686">
      <c r="AC686" s="48"/>
      <c r="AD686" s="49"/>
      <c r="AP686" s="50"/>
    </row>
    <row r="687">
      <c r="AC687" s="48"/>
      <c r="AD687" s="49"/>
      <c r="AP687" s="50"/>
    </row>
    <row r="688">
      <c r="AC688" s="48"/>
      <c r="AD688" s="49"/>
      <c r="AP688" s="50"/>
    </row>
    <row r="689">
      <c r="AC689" s="48"/>
      <c r="AD689" s="49"/>
      <c r="AP689" s="50"/>
    </row>
    <row r="690">
      <c r="AC690" s="48"/>
      <c r="AD690" s="49"/>
      <c r="AP690" s="50"/>
    </row>
    <row r="691">
      <c r="AC691" s="48"/>
      <c r="AD691" s="49"/>
      <c r="AP691" s="50"/>
    </row>
    <row r="692">
      <c r="AC692" s="48"/>
      <c r="AD692" s="49"/>
      <c r="AP692" s="50"/>
    </row>
    <row r="693">
      <c r="AC693" s="48"/>
      <c r="AD693" s="49"/>
      <c r="AP693" s="50"/>
    </row>
    <row r="694">
      <c r="AC694" s="48"/>
      <c r="AD694" s="49"/>
      <c r="AP694" s="50"/>
    </row>
    <row r="695">
      <c r="AC695" s="48"/>
      <c r="AD695" s="49"/>
      <c r="AP695" s="50"/>
    </row>
    <row r="696">
      <c r="AC696" s="48"/>
      <c r="AD696" s="49"/>
      <c r="AP696" s="50"/>
    </row>
    <row r="697">
      <c r="AC697" s="48"/>
      <c r="AD697" s="49"/>
      <c r="AP697" s="50"/>
    </row>
    <row r="698">
      <c r="AC698" s="48"/>
      <c r="AD698" s="49"/>
      <c r="AP698" s="50"/>
    </row>
    <row r="699">
      <c r="AC699" s="48"/>
      <c r="AD699" s="49"/>
      <c r="AP699" s="50"/>
    </row>
    <row r="700">
      <c r="AC700" s="48"/>
      <c r="AD700" s="49"/>
      <c r="AP700" s="50"/>
    </row>
    <row r="701">
      <c r="AC701" s="48"/>
      <c r="AD701" s="49"/>
      <c r="AP701" s="50"/>
    </row>
    <row r="702">
      <c r="AC702" s="48"/>
      <c r="AD702" s="49"/>
      <c r="AP702" s="50"/>
    </row>
    <row r="703">
      <c r="AC703" s="48"/>
      <c r="AD703" s="49"/>
      <c r="AP703" s="50"/>
    </row>
    <row r="704">
      <c r="AC704" s="48"/>
      <c r="AD704" s="49"/>
      <c r="AP704" s="50"/>
    </row>
    <row r="705">
      <c r="AC705" s="48"/>
      <c r="AD705" s="49"/>
      <c r="AP705" s="50"/>
    </row>
    <row r="706">
      <c r="AC706" s="48"/>
      <c r="AD706" s="49"/>
      <c r="AP706" s="50"/>
    </row>
    <row r="707">
      <c r="AC707" s="48"/>
      <c r="AD707" s="49"/>
      <c r="AP707" s="50"/>
    </row>
    <row r="708">
      <c r="AC708" s="48"/>
      <c r="AD708" s="49"/>
      <c r="AP708" s="50"/>
    </row>
    <row r="709">
      <c r="AC709" s="48"/>
      <c r="AD709" s="49"/>
      <c r="AP709" s="50"/>
    </row>
    <row r="710">
      <c r="AC710" s="48"/>
      <c r="AD710" s="49"/>
      <c r="AP710" s="50"/>
    </row>
    <row r="711">
      <c r="AC711" s="48"/>
      <c r="AD711" s="49"/>
      <c r="AP711" s="50"/>
    </row>
    <row r="712">
      <c r="AC712" s="48"/>
      <c r="AD712" s="49"/>
      <c r="AP712" s="50"/>
    </row>
    <row r="713">
      <c r="AC713" s="48"/>
      <c r="AD713" s="49"/>
      <c r="AP713" s="50"/>
    </row>
    <row r="714">
      <c r="AC714" s="48"/>
      <c r="AD714" s="49"/>
      <c r="AP714" s="50"/>
    </row>
    <row r="715">
      <c r="AC715" s="48"/>
      <c r="AD715" s="49"/>
      <c r="AP715" s="50"/>
    </row>
    <row r="716">
      <c r="AC716" s="48"/>
      <c r="AD716" s="49"/>
      <c r="AP716" s="50"/>
    </row>
    <row r="717">
      <c r="AC717" s="48"/>
      <c r="AD717" s="49"/>
      <c r="AP717" s="50"/>
    </row>
    <row r="718">
      <c r="AC718" s="48"/>
      <c r="AD718" s="49"/>
      <c r="AP718" s="50"/>
    </row>
    <row r="719">
      <c r="AC719" s="48"/>
      <c r="AD719" s="49"/>
      <c r="AP719" s="50"/>
    </row>
    <row r="720">
      <c r="AC720" s="48"/>
      <c r="AD720" s="49"/>
      <c r="AP720" s="50"/>
    </row>
    <row r="721">
      <c r="AC721" s="48"/>
      <c r="AD721" s="49"/>
      <c r="AP721" s="50"/>
    </row>
    <row r="722">
      <c r="AC722" s="48"/>
      <c r="AD722" s="49"/>
      <c r="AP722" s="50"/>
    </row>
    <row r="723">
      <c r="AC723" s="48"/>
      <c r="AD723" s="49"/>
      <c r="AP723" s="50"/>
    </row>
    <row r="724">
      <c r="AC724" s="48"/>
      <c r="AD724" s="49"/>
      <c r="AP724" s="50"/>
    </row>
    <row r="725">
      <c r="AC725" s="48"/>
      <c r="AD725" s="49"/>
      <c r="AP725" s="50"/>
    </row>
    <row r="726">
      <c r="AC726" s="48"/>
      <c r="AD726" s="49"/>
      <c r="AP726" s="50"/>
    </row>
    <row r="727">
      <c r="AC727" s="48"/>
      <c r="AD727" s="49"/>
      <c r="AP727" s="50"/>
    </row>
    <row r="728">
      <c r="AC728" s="48"/>
      <c r="AD728" s="49"/>
      <c r="AP728" s="50"/>
    </row>
    <row r="729">
      <c r="AC729" s="48"/>
      <c r="AD729" s="49"/>
      <c r="AP729" s="50"/>
    </row>
    <row r="730">
      <c r="AC730" s="48"/>
      <c r="AD730" s="49"/>
      <c r="AP730" s="50"/>
    </row>
    <row r="731">
      <c r="AC731" s="48"/>
      <c r="AD731" s="49"/>
      <c r="AP731" s="50"/>
    </row>
    <row r="732">
      <c r="AC732" s="48"/>
      <c r="AD732" s="49"/>
      <c r="AP732" s="50"/>
    </row>
    <row r="733">
      <c r="AC733" s="48"/>
      <c r="AD733" s="49"/>
      <c r="AP733" s="50"/>
    </row>
    <row r="734">
      <c r="AC734" s="48"/>
      <c r="AD734" s="49"/>
      <c r="AP734" s="50"/>
    </row>
    <row r="735">
      <c r="AC735" s="48"/>
      <c r="AD735" s="49"/>
      <c r="AP735" s="50"/>
    </row>
    <row r="736">
      <c r="AC736" s="48"/>
      <c r="AD736" s="49"/>
      <c r="AP736" s="50"/>
    </row>
    <row r="737">
      <c r="AC737" s="48"/>
      <c r="AD737" s="49"/>
      <c r="AP737" s="50"/>
    </row>
    <row r="738">
      <c r="AC738" s="48"/>
      <c r="AD738" s="49"/>
      <c r="AP738" s="50"/>
    </row>
    <row r="739">
      <c r="AC739" s="48"/>
      <c r="AD739" s="49"/>
      <c r="AP739" s="50"/>
    </row>
    <row r="740">
      <c r="AC740" s="48"/>
      <c r="AD740" s="49"/>
      <c r="AP740" s="50"/>
    </row>
    <row r="741">
      <c r="AC741" s="48"/>
      <c r="AD741" s="49"/>
      <c r="AP741" s="50"/>
    </row>
    <row r="742">
      <c r="AC742" s="48"/>
      <c r="AD742" s="49"/>
      <c r="AP742" s="50"/>
    </row>
    <row r="743">
      <c r="AC743" s="48"/>
      <c r="AD743" s="49"/>
      <c r="AP743" s="50"/>
    </row>
    <row r="744">
      <c r="AC744" s="48"/>
      <c r="AD744" s="49"/>
      <c r="AP744" s="50"/>
    </row>
    <row r="745">
      <c r="AC745" s="48"/>
      <c r="AD745" s="49"/>
      <c r="AP745" s="50"/>
    </row>
    <row r="746">
      <c r="AC746" s="48"/>
      <c r="AD746" s="49"/>
      <c r="AP746" s="50"/>
    </row>
    <row r="747">
      <c r="AC747" s="48"/>
      <c r="AD747" s="49"/>
      <c r="AP747" s="50"/>
    </row>
    <row r="748">
      <c r="AC748" s="48"/>
      <c r="AD748" s="49"/>
      <c r="AP748" s="50"/>
    </row>
    <row r="749">
      <c r="AC749" s="48"/>
      <c r="AD749" s="49"/>
      <c r="AP749" s="50"/>
    </row>
    <row r="750">
      <c r="AC750" s="48"/>
      <c r="AD750" s="49"/>
      <c r="AP750" s="50"/>
    </row>
    <row r="751">
      <c r="AC751" s="48"/>
      <c r="AD751" s="49"/>
      <c r="AP751" s="50"/>
    </row>
    <row r="752">
      <c r="AC752" s="48"/>
      <c r="AD752" s="49"/>
      <c r="AP752" s="50"/>
    </row>
    <row r="753">
      <c r="AC753" s="48"/>
      <c r="AD753" s="49"/>
      <c r="AP753" s="50"/>
    </row>
    <row r="754">
      <c r="AC754" s="48"/>
      <c r="AD754" s="49"/>
      <c r="AP754" s="50"/>
    </row>
    <row r="755">
      <c r="AC755" s="48"/>
      <c r="AD755" s="49"/>
      <c r="AP755" s="50"/>
    </row>
    <row r="756">
      <c r="AC756" s="48"/>
      <c r="AD756" s="49"/>
      <c r="AP756" s="50"/>
    </row>
    <row r="757">
      <c r="AC757" s="48"/>
      <c r="AD757" s="49"/>
      <c r="AP757" s="50"/>
    </row>
    <row r="758">
      <c r="AC758" s="48"/>
      <c r="AD758" s="49"/>
      <c r="AP758" s="50"/>
    </row>
    <row r="759">
      <c r="AC759" s="48"/>
      <c r="AD759" s="49"/>
      <c r="AP759" s="50"/>
    </row>
    <row r="760">
      <c r="AC760" s="48"/>
      <c r="AD760" s="49"/>
      <c r="AP760" s="50"/>
    </row>
    <row r="761">
      <c r="AC761" s="48"/>
      <c r="AD761" s="49"/>
      <c r="AP761" s="50"/>
    </row>
    <row r="762">
      <c r="AC762" s="48"/>
      <c r="AD762" s="49"/>
      <c r="AP762" s="50"/>
    </row>
    <row r="763">
      <c r="AC763" s="48"/>
      <c r="AD763" s="49"/>
      <c r="AP763" s="50"/>
    </row>
    <row r="764">
      <c r="AC764" s="48"/>
      <c r="AD764" s="49"/>
      <c r="AP764" s="50"/>
    </row>
    <row r="765">
      <c r="AC765" s="48"/>
      <c r="AD765" s="49"/>
      <c r="AP765" s="50"/>
    </row>
    <row r="766">
      <c r="AC766" s="48"/>
      <c r="AD766" s="49"/>
      <c r="AP766" s="50"/>
    </row>
    <row r="767">
      <c r="AC767" s="48"/>
      <c r="AD767" s="49"/>
      <c r="AP767" s="50"/>
    </row>
    <row r="768">
      <c r="AC768" s="48"/>
      <c r="AD768" s="49"/>
      <c r="AP768" s="50"/>
    </row>
    <row r="769">
      <c r="AC769" s="48"/>
      <c r="AD769" s="49"/>
      <c r="AP769" s="50"/>
    </row>
    <row r="770">
      <c r="AC770" s="48"/>
      <c r="AD770" s="49"/>
      <c r="AP770" s="50"/>
    </row>
    <row r="771">
      <c r="AC771" s="48"/>
      <c r="AD771" s="49"/>
      <c r="AP771" s="50"/>
    </row>
    <row r="772">
      <c r="AC772" s="48"/>
      <c r="AD772" s="49"/>
      <c r="AP772" s="50"/>
    </row>
    <row r="773">
      <c r="AC773" s="48"/>
      <c r="AD773" s="49"/>
      <c r="AP773" s="50"/>
    </row>
    <row r="774">
      <c r="AC774" s="48"/>
      <c r="AD774" s="49"/>
      <c r="AP774" s="50"/>
    </row>
    <row r="775">
      <c r="AC775" s="48"/>
      <c r="AD775" s="49"/>
      <c r="AP775" s="50"/>
    </row>
    <row r="776">
      <c r="AC776" s="48"/>
      <c r="AD776" s="49"/>
      <c r="AP776" s="50"/>
    </row>
    <row r="777">
      <c r="AC777" s="48"/>
      <c r="AD777" s="49"/>
      <c r="AP777" s="50"/>
    </row>
    <row r="778">
      <c r="AC778" s="48"/>
      <c r="AD778" s="49"/>
      <c r="AP778" s="50"/>
    </row>
    <row r="779">
      <c r="AC779" s="48"/>
      <c r="AD779" s="49"/>
      <c r="AP779" s="50"/>
    </row>
    <row r="780">
      <c r="AC780" s="48"/>
      <c r="AD780" s="49"/>
      <c r="AP780" s="50"/>
    </row>
    <row r="781">
      <c r="AC781" s="48"/>
      <c r="AD781" s="49"/>
      <c r="AP781" s="50"/>
    </row>
    <row r="782">
      <c r="AC782" s="48"/>
      <c r="AD782" s="49"/>
      <c r="AP782" s="50"/>
    </row>
    <row r="783">
      <c r="AC783" s="48"/>
      <c r="AD783" s="49"/>
      <c r="AP783" s="50"/>
    </row>
    <row r="784">
      <c r="AC784" s="48"/>
      <c r="AD784" s="49"/>
      <c r="AP784" s="50"/>
    </row>
    <row r="785">
      <c r="AC785" s="48"/>
      <c r="AD785" s="49"/>
      <c r="AP785" s="50"/>
    </row>
    <row r="786">
      <c r="AC786" s="48"/>
      <c r="AD786" s="49"/>
      <c r="AP786" s="50"/>
    </row>
    <row r="787">
      <c r="AC787" s="48"/>
      <c r="AD787" s="49"/>
      <c r="AP787" s="50"/>
    </row>
    <row r="788">
      <c r="AC788" s="48"/>
      <c r="AD788" s="49"/>
      <c r="AP788" s="50"/>
    </row>
    <row r="789">
      <c r="AC789" s="48"/>
      <c r="AD789" s="49"/>
      <c r="AP789" s="50"/>
    </row>
    <row r="790">
      <c r="AC790" s="48"/>
      <c r="AD790" s="49"/>
      <c r="AP790" s="50"/>
    </row>
    <row r="791">
      <c r="AC791" s="48"/>
      <c r="AD791" s="49"/>
      <c r="AP791" s="50"/>
    </row>
    <row r="792">
      <c r="AC792" s="48"/>
      <c r="AD792" s="49"/>
      <c r="AP792" s="50"/>
    </row>
    <row r="793">
      <c r="AC793" s="48"/>
      <c r="AD793" s="49"/>
      <c r="AP793" s="50"/>
    </row>
    <row r="794">
      <c r="AC794" s="48"/>
      <c r="AD794" s="49"/>
      <c r="AP794" s="50"/>
    </row>
    <row r="795">
      <c r="AC795" s="48"/>
      <c r="AD795" s="49"/>
      <c r="AP795" s="50"/>
    </row>
    <row r="796">
      <c r="AC796" s="48"/>
      <c r="AD796" s="49"/>
      <c r="AP796" s="50"/>
    </row>
    <row r="797">
      <c r="AC797" s="48"/>
      <c r="AD797" s="49"/>
      <c r="AP797" s="50"/>
    </row>
    <row r="798">
      <c r="AC798" s="48"/>
      <c r="AD798" s="49"/>
      <c r="AP798" s="50"/>
    </row>
    <row r="799">
      <c r="AC799" s="48"/>
      <c r="AD799" s="49"/>
      <c r="AP799" s="50"/>
    </row>
    <row r="800">
      <c r="AC800" s="48"/>
      <c r="AD800" s="49"/>
      <c r="AP800" s="50"/>
    </row>
    <row r="801">
      <c r="AC801" s="48"/>
      <c r="AD801" s="49"/>
      <c r="AP801" s="50"/>
    </row>
    <row r="802">
      <c r="AC802" s="48"/>
      <c r="AD802" s="49"/>
      <c r="AP802" s="50"/>
    </row>
    <row r="803">
      <c r="AC803" s="48"/>
      <c r="AD803" s="49"/>
      <c r="AP803" s="50"/>
    </row>
    <row r="804">
      <c r="AC804" s="48"/>
      <c r="AD804" s="49"/>
      <c r="AP804" s="50"/>
    </row>
    <row r="805">
      <c r="AC805" s="48"/>
      <c r="AD805" s="49"/>
      <c r="AP805" s="50"/>
    </row>
    <row r="806">
      <c r="AC806" s="48"/>
      <c r="AD806" s="49"/>
      <c r="AP806" s="50"/>
    </row>
    <row r="807">
      <c r="AC807" s="48"/>
      <c r="AD807" s="49"/>
      <c r="AP807" s="50"/>
    </row>
    <row r="808">
      <c r="AC808" s="48"/>
      <c r="AD808" s="49"/>
      <c r="AP808" s="50"/>
    </row>
    <row r="809">
      <c r="AC809" s="48"/>
      <c r="AD809" s="49"/>
      <c r="AP809" s="50"/>
    </row>
    <row r="810">
      <c r="AC810" s="48"/>
      <c r="AD810" s="49"/>
      <c r="AP810" s="50"/>
    </row>
    <row r="811">
      <c r="AC811" s="48"/>
      <c r="AD811" s="49"/>
      <c r="AP811" s="50"/>
    </row>
    <row r="812">
      <c r="AC812" s="48"/>
      <c r="AD812" s="49"/>
      <c r="AP812" s="50"/>
    </row>
    <row r="813">
      <c r="AC813" s="48"/>
      <c r="AD813" s="49"/>
      <c r="AP813" s="50"/>
    </row>
    <row r="814">
      <c r="AC814" s="48"/>
      <c r="AD814" s="49"/>
      <c r="AP814" s="50"/>
    </row>
    <row r="815">
      <c r="AC815" s="48"/>
      <c r="AD815" s="49"/>
      <c r="AP815" s="50"/>
    </row>
    <row r="816">
      <c r="AC816" s="48"/>
      <c r="AD816" s="49"/>
      <c r="AP816" s="50"/>
    </row>
    <row r="817">
      <c r="AC817" s="48"/>
      <c r="AD817" s="49"/>
      <c r="AP817" s="50"/>
    </row>
    <row r="818">
      <c r="AC818" s="48"/>
      <c r="AD818" s="49"/>
      <c r="AP818" s="50"/>
    </row>
    <row r="819">
      <c r="AC819" s="48"/>
      <c r="AD819" s="49"/>
      <c r="AP819" s="50"/>
    </row>
    <row r="820">
      <c r="AC820" s="48"/>
      <c r="AD820" s="49"/>
      <c r="AP820" s="50"/>
    </row>
    <row r="821">
      <c r="AC821" s="48"/>
      <c r="AD821" s="49"/>
      <c r="AP821" s="50"/>
    </row>
    <row r="822">
      <c r="AC822" s="48"/>
      <c r="AD822" s="49"/>
      <c r="AP822" s="50"/>
    </row>
    <row r="823">
      <c r="AC823" s="48"/>
      <c r="AD823" s="49"/>
      <c r="AP823" s="50"/>
    </row>
    <row r="824">
      <c r="AC824" s="48"/>
      <c r="AD824" s="49"/>
      <c r="AP824" s="50"/>
    </row>
    <row r="825">
      <c r="AC825" s="48"/>
      <c r="AD825" s="49"/>
      <c r="AP825" s="50"/>
    </row>
    <row r="826">
      <c r="AC826" s="48"/>
      <c r="AD826" s="49"/>
      <c r="AP826" s="50"/>
    </row>
    <row r="827">
      <c r="AC827" s="48"/>
      <c r="AD827" s="49"/>
      <c r="AP827" s="50"/>
    </row>
    <row r="828">
      <c r="AC828" s="48"/>
      <c r="AD828" s="49"/>
      <c r="AP828" s="50"/>
    </row>
    <row r="829">
      <c r="AC829" s="48"/>
      <c r="AD829" s="49"/>
      <c r="AP829" s="50"/>
    </row>
    <row r="830">
      <c r="AC830" s="48"/>
      <c r="AD830" s="49"/>
      <c r="AP830" s="50"/>
    </row>
    <row r="831">
      <c r="AC831" s="48"/>
      <c r="AD831" s="49"/>
      <c r="AP831" s="50"/>
    </row>
    <row r="832">
      <c r="AC832" s="48"/>
      <c r="AD832" s="49"/>
      <c r="AP832" s="50"/>
    </row>
    <row r="833">
      <c r="AC833" s="48"/>
      <c r="AD833" s="49"/>
      <c r="AP833" s="50"/>
    </row>
    <row r="834">
      <c r="AC834" s="48"/>
      <c r="AD834" s="49"/>
      <c r="AP834" s="50"/>
    </row>
    <row r="835">
      <c r="AC835" s="48"/>
      <c r="AD835" s="49"/>
      <c r="AP835" s="50"/>
    </row>
    <row r="836">
      <c r="AC836" s="48"/>
      <c r="AD836" s="49"/>
      <c r="AP836" s="50"/>
    </row>
    <row r="837">
      <c r="AC837" s="48"/>
      <c r="AD837" s="49"/>
      <c r="AP837" s="50"/>
    </row>
    <row r="838">
      <c r="AC838" s="48"/>
      <c r="AD838" s="49"/>
      <c r="AP838" s="50"/>
    </row>
    <row r="839">
      <c r="AC839" s="48"/>
      <c r="AD839" s="49"/>
      <c r="AP839" s="50"/>
    </row>
    <row r="840">
      <c r="AC840" s="48"/>
      <c r="AD840" s="49"/>
      <c r="AP840" s="50"/>
    </row>
    <row r="841">
      <c r="AC841" s="48"/>
      <c r="AD841" s="49"/>
      <c r="AP841" s="50"/>
    </row>
    <row r="842">
      <c r="AC842" s="48"/>
      <c r="AD842" s="49"/>
      <c r="AP842" s="50"/>
    </row>
    <row r="843">
      <c r="AC843" s="48"/>
      <c r="AD843" s="49"/>
      <c r="AP843" s="50"/>
    </row>
    <row r="844">
      <c r="AC844" s="48"/>
      <c r="AD844" s="49"/>
      <c r="AP844" s="50"/>
    </row>
    <row r="845">
      <c r="AC845" s="48"/>
      <c r="AD845" s="49"/>
      <c r="AP845" s="50"/>
    </row>
    <row r="846">
      <c r="AC846" s="48"/>
      <c r="AD846" s="49"/>
      <c r="AP846" s="50"/>
    </row>
    <row r="847">
      <c r="AC847" s="48"/>
      <c r="AD847" s="49"/>
      <c r="AP847" s="50"/>
    </row>
    <row r="848">
      <c r="AC848" s="48"/>
      <c r="AD848" s="49"/>
      <c r="AP848" s="50"/>
    </row>
    <row r="849">
      <c r="AC849" s="48"/>
      <c r="AD849" s="49"/>
      <c r="AP849" s="50"/>
    </row>
    <row r="850">
      <c r="AC850" s="48"/>
      <c r="AD850" s="49"/>
      <c r="AP850" s="50"/>
    </row>
    <row r="851">
      <c r="AC851" s="48"/>
      <c r="AD851" s="49"/>
      <c r="AP851" s="50"/>
    </row>
    <row r="852">
      <c r="AC852" s="48"/>
      <c r="AD852" s="49"/>
      <c r="AP852" s="50"/>
    </row>
    <row r="853">
      <c r="AC853" s="48"/>
      <c r="AD853" s="49"/>
      <c r="AP853" s="50"/>
    </row>
    <row r="854">
      <c r="AC854" s="48"/>
      <c r="AD854" s="49"/>
      <c r="AP854" s="50"/>
    </row>
    <row r="855">
      <c r="AC855" s="48"/>
      <c r="AD855" s="49"/>
      <c r="AP855" s="50"/>
    </row>
    <row r="856">
      <c r="AC856" s="48"/>
      <c r="AD856" s="49"/>
      <c r="AP856" s="50"/>
    </row>
    <row r="857">
      <c r="AC857" s="48"/>
      <c r="AD857" s="49"/>
      <c r="AP857" s="50"/>
    </row>
    <row r="858">
      <c r="AC858" s="48"/>
      <c r="AD858" s="49"/>
      <c r="AP858" s="50"/>
    </row>
    <row r="859">
      <c r="AC859" s="48"/>
      <c r="AD859" s="49"/>
      <c r="AP859" s="50"/>
    </row>
    <row r="860">
      <c r="AC860" s="48"/>
      <c r="AD860" s="49"/>
      <c r="AP860" s="50"/>
    </row>
    <row r="861">
      <c r="AC861" s="48"/>
      <c r="AD861" s="49"/>
      <c r="AP861" s="50"/>
    </row>
    <row r="862">
      <c r="AC862" s="48"/>
      <c r="AD862" s="49"/>
      <c r="AP862" s="50"/>
    </row>
    <row r="863">
      <c r="AC863" s="48"/>
      <c r="AD863" s="49"/>
      <c r="AP863" s="50"/>
    </row>
    <row r="864">
      <c r="AC864" s="48"/>
      <c r="AD864" s="49"/>
      <c r="AP864" s="50"/>
    </row>
    <row r="865">
      <c r="AC865" s="48"/>
      <c r="AD865" s="49"/>
      <c r="AP865" s="50"/>
    </row>
    <row r="866">
      <c r="AC866" s="48"/>
      <c r="AD866" s="49"/>
      <c r="AP866" s="50"/>
    </row>
    <row r="867">
      <c r="AC867" s="48"/>
      <c r="AD867" s="49"/>
      <c r="AP867" s="50"/>
    </row>
    <row r="868">
      <c r="AC868" s="48"/>
      <c r="AD868" s="49"/>
      <c r="AP868" s="50"/>
    </row>
    <row r="869">
      <c r="AC869" s="48"/>
      <c r="AD869" s="49"/>
      <c r="AP869" s="50"/>
    </row>
    <row r="870">
      <c r="AC870" s="48"/>
      <c r="AD870" s="49"/>
      <c r="AP870" s="50"/>
    </row>
    <row r="871">
      <c r="AC871" s="48"/>
      <c r="AD871" s="49"/>
      <c r="AP871" s="50"/>
    </row>
    <row r="872">
      <c r="AC872" s="48"/>
      <c r="AD872" s="49"/>
      <c r="AP872" s="50"/>
    </row>
    <row r="873">
      <c r="AC873" s="48"/>
      <c r="AD873" s="49"/>
      <c r="AP873" s="50"/>
    </row>
    <row r="874">
      <c r="AC874" s="48"/>
      <c r="AD874" s="49"/>
      <c r="AP874" s="50"/>
    </row>
    <row r="875">
      <c r="AC875" s="48"/>
      <c r="AD875" s="49"/>
      <c r="AP875" s="50"/>
    </row>
    <row r="876">
      <c r="AC876" s="48"/>
      <c r="AD876" s="49"/>
      <c r="AP876" s="50"/>
    </row>
    <row r="877">
      <c r="AC877" s="48"/>
      <c r="AD877" s="49"/>
      <c r="AP877" s="50"/>
    </row>
    <row r="878">
      <c r="AC878" s="48"/>
      <c r="AD878" s="49"/>
      <c r="AP878" s="50"/>
    </row>
    <row r="879">
      <c r="AC879" s="48"/>
      <c r="AD879" s="49"/>
      <c r="AP879" s="50"/>
    </row>
    <row r="880">
      <c r="AC880" s="48"/>
      <c r="AD880" s="49"/>
      <c r="AP880" s="50"/>
    </row>
    <row r="881">
      <c r="AC881" s="48"/>
      <c r="AD881" s="49"/>
      <c r="AP881" s="50"/>
    </row>
    <row r="882">
      <c r="AC882" s="48"/>
      <c r="AD882" s="49"/>
      <c r="AP882" s="50"/>
    </row>
    <row r="883">
      <c r="AC883" s="48"/>
      <c r="AD883" s="49"/>
      <c r="AP883" s="50"/>
    </row>
    <row r="884">
      <c r="AC884" s="48"/>
      <c r="AD884" s="49"/>
      <c r="AP884" s="50"/>
    </row>
    <row r="885">
      <c r="AC885" s="48"/>
      <c r="AD885" s="49"/>
      <c r="AP885" s="50"/>
    </row>
    <row r="886">
      <c r="AC886" s="48"/>
      <c r="AD886" s="49"/>
      <c r="AP886" s="50"/>
    </row>
    <row r="887">
      <c r="AC887" s="48"/>
      <c r="AD887" s="49"/>
      <c r="AP887" s="50"/>
    </row>
    <row r="888">
      <c r="AC888" s="48"/>
      <c r="AD888" s="49"/>
      <c r="AP888" s="50"/>
    </row>
    <row r="889">
      <c r="AC889" s="48"/>
      <c r="AD889" s="49"/>
      <c r="AP889" s="50"/>
    </row>
    <row r="890">
      <c r="AC890" s="48"/>
      <c r="AD890" s="49"/>
      <c r="AP890" s="50"/>
    </row>
    <row r="891">
      <c r="AC891" s="48"/>
      <c r="AD891" s="49"/>
      <c r="AP891" s="50"/>
    </row>
    <row r="892">
      <c r="AC892" s="48"/>
      <c r="AD892" s="49"/>
      <c r="AP892" s="50"/>
    </row>
    <row r="893">
      <c r="AC893" s="48"/>
      <c r="AD893" s="49"/>
      <c r="AP893" s="50"/>
    </row>
    <row r="894">
      <c r="AC894" s="48"/>
      <c r="AD894" s="49"/>
      <c r="AP894" s="50"/>
    </row>
    <row r="895">
      <c r="AC895" s="48"/>
      <c r="AD895" s="49"/>
      <c r="AP895" s="50"/>
    </row>
    <row r="896">
      <c r="AC896" s="48"/>
      <c r="AD896" s="49"/>
      <c r="AP896" s="50"/>
    </row>
    <row r="897">
      <c r="AC897" s="48"/>
      <c r="AD897" s="49"/>
      <c r="AP897" s="50"/>
    </row>
    <row r="898">
      <c r="AC898" s="48"/>
      <c r="AD898" s="49"/>
      <c r="AP898" s="50"/>
    </row>
    <row r="899">
      <c r="AC899" s="48"/>
      <c r="AD899" s="49"/>
      <c r="AP899" s="50"/>
    </row>
    <row r="900">
      <c r="AC900" s="48"/>
      <c r="AD900" s="49"/>
      <c r="AP900" s="50"/>
    </row>
    <row r="901">
      <c r="AC901" s="48"/>
      <c r="AD901" s="49"/>
      <c r="AP901" s="50"/>
    </row>
    <row r="902">
      <c r="AC902" s="48"/>
      <c r="AD902" s="49"/>
      <c r="AP902" s="50"/>
    </row>
    <row r="903">
      <c r="AC903" s="48"/>
      <c r="AD903" s="49"/>
      <c r="AP903" s="50"/>
    </row>
    <row r="904">
      <c r="AC904" s="48"/>
      <c r="AD904" s="49"/>
      <c r="AP904" s="50"/>
    </row>
    <row r="905">
      <c r="AC905" s="48"/>
      <c r="AD905" s="49"/>
      <c r="AP905" s="50"/>
    </row>
    <row r="906">
      <c r="AC906" s="48"/>
      <c r="AD906" s="49"/>
      <c r="AP906" s="50"/>
    </row>
    <row r="907">
      <c r="AC907" s="48"/>
      <c r="AD907" s="49"/>
      <c r="AP907" s="50"/>
    </row>
    <row r="908">
      <c r="AC908" s="48"/>
      <c r="AD908" s="49"/>
      <c r="AP908" s="50"/>
    </row>
    <row r="909">
      <c r="AC909" s="48"/>
      <c r="AD909" s="49"/>
      <c r="AP909" s="50"/>
    </row>
    <row r="910">
      <c r="AC910" s="48"/>
      <c r="AD910" s="49"/>
      <c r="AP910" s="50"/>
    </row>
    <row r="911">
      <c r="AC911" s="48"/>
      <c r="AD911" s="49"/>
      <c r="AP911" s="50"/>
    </row>
    <row r="912">
      <c r="AC912" s="48"/>
      <c r="AD912" s="49"/>
      <c r="AP912" s="50"/>
    </row>
    <row r="913">
      <c r="AC913" s="48"/>
      <c r="AD913" s="49"/>
      <c r="AP913" s="50"/>
    </row>
    <row r="914">
      <c r="AC914" s="48"/>
      <c r="AD914" s="49"/>
      <c r="AP914" s="50"/>
    </row>
    <row r="915">
      <c r="AC915" s="48"/>
      <c r="AD915" s="49"/>
      <c r="AP915" s="50"/>
    </row>
    <row r="916">
      <c r="AC916" s="48"/>
      <c r="AD916" s="49"/>
      <c r="AP916" s="50"/>
    </row>
    <row r="917">
      <c r="AC917" s="48"/>
      <c r="AD917" s="49"/>
      <c r="AP917" s="50"/>
    </row>
    <row r="918">
      <c r="AC918" s="48"/>
      <c r="AD918" s="49"/>
      <c r="AP918" s="50"/>
    </row>
    <row r="919">
      <c r="AC919" s="48"/>
      <c r="AD919" s="49"/>
      <c r="AP919" s="50"/>
    </row>
    <row r="920">
      <c r="AC920" s="48"/>
      <c r="AD920" s="49"/>
      <c r="AP920" s="50"/>
    </row>
    <row r="921">
      <c r="AC921" s="48"/>
      <c r="AD921" s="49"/>
      <c r="AP921" s="50"/>
    </row>
    <row r="922">
      <c r="AC922" s="48"/>
      <c r="AD922" s="49"/>
      <c r="AP922" s="50"/>
    </row>
    <row r="923">
      <c r="AC923" s="48"/>
      <c r="AD923" s="49"/>
      <c r="AP923" s="50"/>
    </row>
    <row r="924">
      <c r="AC924" s="48"/>
      <c r="AD924" s="49"/>
      <c r="AP924" s="50"/>
    </row>
    <row r="925">
      <c r="AC925" s="48"/>
      <c r="AD925" s="49"/>
      <c r="AP925" s="50"/>
    </row>
    <row r="926">
      <c r="AC926" s="48"/>
      <c r="AD926" s="49"/>
      <c r="AP926" s="50"/>
    </row>
    <row r="927">
      <c r="AC927" s="48"/>
      <c r="AD927" s="49"/>
      <c r="AP927" s="50"/>
    </row>
    <row r="928">
      <c r="AC928" s="48"/>
      <c r="AD928" s="49"/>
      <c r="AP928" s="50"/>
    </row>
    <row r="929">
      <c r="AC929" s="48"/>
      <c r="AD929" s="49"/>
      <c r="AP929" s="50"/>
    </row>
    <row r="930">
      <c r="AC930" s="48"/>
      <c r="AD930" s="49"/>
      <c r="AP930" s="50"/>
    </row>
    <row r="931">
      <c r="AC931" s="48"/>
      <c r="AD931" s="49"/>
      <c r="AP931" s="50"/>
    </row>
    <row r="932">
      <c r="AC932" s="48"/>
      <c r="AD932" s="49"/>
      <c r="AP932" s="50"/>
    </row>
    <row r="933">
      <c r="AC933" s="48"/>
      <c r="AD933" s="49"/>
      <c r="AP933" s="50"/>
    </row>
    <row r="934">
      <c r="AC934" s="48"/>
      <c r="AD934" s="49"/>
      <c r="AP934" s="50"/>
    </row>
    <row r="935">
      <c r="AC935" s="48"/>
      <c r="AD935" s="49"/>
      <c r="AP935" s="50"/>
    </row>
    <row r="936">
      <c r="AC936" s="48"/>
      <c r="AD936" s="49"/>
      <c r="AP936" s="50"/>
    </row>
    <row r="937">
      <c r="AC937" s="48"/>
      <c r="AD937" s="49"/>
      <c r="AP937" s="50"/>
    </row>
    <row r="938">
      <c r="AC938" s="48"/>
      <c r="AD938" s="49"/>
      <c r="AP938" s="50"/>
    </row>
    <row r="939">
      <c r="AC939" s="48"/>
      <c r="AD939" s="49"/>
      <c r="AP939" s="50"/>
    </row>
    <row r="940">
      <c r="AC940" s="48"/>
      <c r="AD940" s="49"/>
      <c r="AP940" s="50"/>
    </row>
    <row r="941">
      <c r="AC941" s="48"/>
      <c r="AD941" s="49"/>
      <c r="AP941" s="50"/>
    </row>
    <row r="942">
      <c r="AC942" s="48"/>
      <c r="AD942" s="49"/>
      <c r="AP942" s="50"/>
    </row>
    <row r="943">
      <c r="AC943" s="48"/>
      <c r="AD943" s="49"/>
      <c r="AP943" s="50"/>
    </row>
    <row r="944">
      <c r="AC944" s="48"/>
      <c r="AD944" s="49"/>
      <c r="AP944" s="50"/>
    </row>
    <row r="945">
      <c r="AC945" s="48"/>
      <c r="AD945" s="49"/>
      <c r="AP945" s="50"/>
    </row>
    <row r="946">
      <c r="AC946" s="48"/>
      <c r="AD946" s="49"/>
      <c r="AP946" s="50"/>
    </row>
    <row r="947">
      <c r="AC947" s="48"/>
      <c r="AD947" s="49"/>
      <c r="AP947" s="50"/>
    </row>
    <row r="948">
      <c r="AC948" s="48"/>
      <c r="AD948" s="49"/>
      <c r="AP948" s="50"/>
    </row>
    <row r="949">
      <c r="AC949" s="48"/>
      <c r="AD949" s="49"/>
      <c r="AP949" s="50"/>
    </row>
    <row r="950">
      <c r="AC950" s="48"/>
      <c r="AD950" s="49"/>
      <c r="AP950" s="50"/>
    </row>
    <row r="951">
      <c r="AC951" s="48"/>
      <c r="AD951" s="49"/>
      <c r="AP951" s="50"/>
    </row>
    <row r="952">
      <c r="AC952" s="48"/>
      <c r="AD952" s="49"/>
      <c r="AP952" s="50"/>
    </row>
    <row r="953">
      <c r="AC953" s="48"/>
      <c r="AD953" s="49"/>
      <c r="AP953" s="50"/>
    </row>
    <row r="954">
      <c r="AC954" s="48"/>
      <c r="AD954" s="49"/>
      <c r="AP954" s="50"/>
    </row>
    <row r="955">
      <c r="AC955" s="48"/>
      <c r="AD955" s="49"/>
      <c r="AP955" s="50"/>
    </row>
    <row r="956">
      <c r="AC956" s="48"/>
      <c r="AD956" s="49"/>
      <c r="AP956" s="50"/>
    </row>
    <row r="957">
      <c r="AC957" s="48"/>
      <c r="AD957" s="49"/>
      <c r="AP957" s="50"/>
    </row>
    <row r="958">
      <c r="AC958" s="48"/>
      <c r="AD958" s="49"/>
      <c r="AP958" s="50"/>
    </row>
    <row r="959">
      <c r="AC959" s="48"/>
      <c r="AD959" s="49"/>
      <c r="AP959" s="50"/>
    </row>
    <row r="960">
      <c r="AC960" s="48"/>
      <c r="AD960" s="49"/>
      <c r="AP960" s="50"/>
    </row>
    <row r="961">
      <c r="AC961" s="48"/>
      <c r="AD961" s="49"/>
      <c r="AP961" s="50"/>
    </row>
    <row r="962">
      <c r="AC962" s="48"/>
      <c r="AD962" s="49"/>
      <c r="AP962" s="50"/>
    </row>
    <row r="963">
      <c r="AC963" s="48"/>
      <c r="AD963" s="49"/>
      <c r="AP963" s="50"/>
    </row>
    <row r="964">
      <c r="AC964" s="48"/>
      <c r="AD964" s="49"/>
      <c r="AP964" s="50"/>
    </row>
    <row r="965">
      <c r="AC965" s="48"/>
      <c r="AD965" s="49"/>
      <c r="AP965" s="50"/>
    </row>
    <row r="966">
      <c r="AC966" s="48"/>
      <c r="AD966" s="49"/>
      <c r="AP966" s="50"/>
    </row>
    <row r="967">
      <c r="AC967" s="48"/>
      <c r="AD967" s="49"/>
      <c r="AP967" s="50"/>
    </row>
    <row r="968">
      <c r="AC968" s="48"/>
      <c r="AD968" s="49"/>
      <c r="AP968" s="50"/>
    </row>
    <row r="969">
      <c r="AC969" s="48"/>
      <c r="AD969" s="49"/>
      <c r="AP969" s="50"/>
    </row>
    <row r="970">
      <c r="AC970" s="48"/>
      <c r="AD970" s="49"/>
      <c r="AP970" s="50"/>
    </row>
    <row r="971">
      <c r="AC971" s="48"/>
      <c r="AD971" s="49"/>
      <c r="AP971" s="50"/>
    </row>
    <row r="972">
      <c r="AC972" s="48"/>
      <c r="AD972" s="49"/>
      <c r="AP972" s="50"/>
    </row>
    <row r="973">
      <c r="AC973" s="48"/>
      <c r="AD973" s="49"/>
      <c r="AP973" s="50"/>
    </row>
    <row r="974">
      <c r="AC974" s="48"/>
      <c r="AD974" s="49"/>
      <c r="AP974" s="50"/>
    </row>
    <row r="975">
      <c r="AC975" s="48"/>
      <c r="AD975" s="49"/>
      <c r="AP975" s="50"/>
    </row>
    <row r="976">
      <c r="AC976" s="48"/>
      <c r="AD976" s="49"/>
      <c r="AP976" s="50"/>
    </row>
    <row r="977">
      <c r="AC977" s="48"/>
      <c r="AD977" s="49"/>
      <c r="AP977" s="50"/>
    </row>
    <row r="978">
      <c r="AC978" s="48"/>
      <c r="AD978" s="49"/>
      <c r="AP978" s="50"/>
    </row>
    <row r="979">
      <c r="AC979" s="48"/>
      <c r="AD979" s="49"/>
      <c r="AP979" s="50"/>
    </row>
    <row r="980">
      <c r="AC980" s="48"/>
      <c r="AD980" s="49"/>
      <c r="AP980" s="50"/>
    </row>
    <row r="981">
      <c r="AC981" s="48"/>
      <c r="AD981" s="49"/>
      <c r="AP981" s="50"/>
    </row>
    <row r="982">
      <c r="AC982" s="48"/>
      <c r="AD982" s="49"/>
      <c r="AP982" s="50"/>
    </row>
    <row r="983">
      <c r="AC983" s="48"/>
      <c r="AD983" s="49"/>
      <c r="AP983" s="50"/>
    </row>
    <row r="984">
      <c r="AC984" s="48"/>
      <c r="AD984" s="49"/>
      <c r="AP984" s="50"/>
    </row>
    <row r="985">
      <c r="AC985" s="48"/>
      <c r="AD985" s="49"/>
      <c r="AP985" s="50"/>
    </row>
    <row r="986">
      <c r="AC986" s="48"/>
      <c r="AD986" s="49"/>
      <c r="AP986" s="50"/>
    </row>
    <row r="987">
      <c r="AC987" s="48"/>
      <c r="AD987" s="49"/>
      <c r="AP987" s="50"/>
    </row>
    <row r="988">
      <c r="AC988" s="48"/>
      <c r="AD988" s="49"/>
      <c r="AP988" s="50"/>
    </row>
    <row r="989">
      <c r="AC989" s="48"/>
      <c r="AD989" s="49"/>
      <c r="AP989" s="50"/>
    </row>
    <row r="990">
      <c r="AC990" s="48"/>
      <c r="AD990" s="49"/>
      <c r="AP990" s="50"/>
    </row>
    <row r="991">
      <c r="AC991" s="48"/>
      <c r="AD991" s="49"/>
      <c r="AP991" s="50"/>
    </row>
    <row r="992">
      <c r="AC992" s="48"/>
      <c r="AD992" s="49"/>
      <c r="AP992" s="50"/>
    </row>
    <row r="993">
      <c r="AC993" s="48"/>
      <c r="AD993" s="49"/>
      <c r="AP993" s="50"/>
    </row>
    <row r="994">
      <c r="AC994" s="48"/>
      <c r="AD994" s="49"/>
      <c r="AP994" s="50"/>
    </row>
    <row r="995">
      <c r="AC995" s="48"/>
      <c r="AD995" s="49"/>
      <c r="AP995" s="50"/>
    </row>
    <row r="996">
      <c r="AC996" s="48"/>
      <c r="AD996" s="49"/>
      <c r="AP996" s="50"/>
    </row>
    <row r="997">
      <c r="AC997" s="48"/>
      <c r="AD997" s="49"/>
      <c r="AP997" s="50"/>
    </row>
    <row r="998">
      <c r="AC998" s="48"/>
      <c r="AD998" s="49"/>
      <c r="AP998" s="50"/>
    </row>
    <row r="999">
      <c r="AC999" s="48"/>
      <c r="AD999" s="49"/>
      <c r="AP999" s="50"/>
    </row>
    <row r="1000">
      <c r="AC1000" s="48"/>
      <c r="AD1000" s="49"/>
      <c r="AP1000" s="50"/>
    </row>
  </sheetData>
  <conditionalFormatting sqref="V1:W1">
    <cfRule type="cellIs" dxfId="0" priority="1" operator="lessThan">
      <formula>0</formula>
    </cfRule>
  </conditionalFormatting>
  <conditionalFormatting sqref="L1:M1000 V1:W1">
    <cfRule type="cellIs" dxfId="1" priority="2" operator="greaterThan">
      <formula>0</formula>
    </cfRule>
  </conditionalFormatting>
  <conditionalFormatting sqref="L1:M1000">
    <cfRule type="cellIs" dxfId="0" priority="3" operator="lessThanOrEqual">
      <formula>0</formula>
    </cfRule>
  </conditionalFormatting>
  <dataValidations>
    <dataValidation type="custom" allowBlank="1" showDropDown="1" sqref="AC2:AC17">
      <formula1>OR(NOT(ISERROR(DATEVALUE(AC2))), AND(ISNUMBER(AC2), LEFT(CELL("format", AC2))="D"))</formula1>
    </dataValidation>
    <dataValidation type="custom" allowBlank="1" showDropDown="1" sqref="J2:M6 AD2:AD17 AP2:AP17">
      <formula1>AND(ISNUMBER(J2),(NOT(OR(NOT(ISERROR(DATEVALUE(J2))), AND(ISNUMBER(J2), LEFT(CELL("format", J2))="D")))))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7.13"/>
    <col customWidth="1" min="6" max="8" width="17.38"/>
    <col customWidth="1" min="9" max="9" width="22.25"/>
    <col customWidth="1" min="10" max="12" width="17.0"/>
    <col customWidth="1" min="13" max="13" width="21.88"/>
    <col customWidth="1" min="17" max="17" width="15.38"/>
  </cols>
  <sheetData>
    <row r="1" ht="22.5" customHeight="1">
      <c r="A1" s="56" t="s">
        <v>10</v>
      </c>
      <c r="B1" s="57" t="s">
        <v>32</v>
      </c>
      <c r="C1" s="58" t="s">
        <v>33</v>
      </c>
      <c r="D1" s="58" t="s">
        <v>34</v>
      </c>
      <c r="E1" s="59" t="s">
        <v>35</v>
      </c>
      <c r="F1" s="57" t="s">
        <v>36</v>
      </c>
      <c r="G1" s="58" t="s">
        <v>37</v>
      </c>
      <c r="H1" s="58" t="s">
        <v>38</v>
      </c>
      <c r="I1" s="59" t="s">
        <v>39</v>
      </c>
      <c r="J1" s="57" t="s">
        <v>40</v>
      </c>
      <c r="K1" s="58" t="s">
        <v>41</v>
      </c>
      <c r="L1" s="58" t="s">
        <v>42</v>
      </c>
      <c r="M1" s="59" t="s">
        <v>43</v>
      </c>
      <c r="N1" s="57" t="s">
        <v>44</v>
      </c>
      <c r="O1" s="58" t="s">
        <v>45</v>
      </c>
      <c r="P1" s="58" t="s">
        <v>46</v>
      </c>
      <c r="Q1" s="59" t="s">
        <v>47</v>
      </c>
    </row>
    <row r="2" ht="22.5" customHeight="1">
      <c r="A2" s="60">
        <v>45709.0</v>
      </c>
      <c r="B2" s="61">
        <v>102112.35</v>
      </c>
      <c r="C2" s="62">
        <v>100701.09</v>
      </c>
      <c r="D2" s="62">
        <v>1411.2600000000093</v>
      </c>
      <c r="E2" s="63">
        <v>0.014014346815908442</v>
      </c>
      <c r="F2" s="64">
        <v>533777.4910834234</v>
      </c>
      <c r="G2" s="65">
        <v>534142.3888840609</v>
      </c>
      <c r="H2" s="65">
        <v>-364.8978006375255</v>
      </c>
      <c r="I2" s="63">
        <v>-6.83147056349293E-4</v>
      </c>
      <c r="J2" s="64">
        <v>16290.840967799999</v>
      </c>
      <c r="K2" s="65">
        <v>16255.564281235</v>
      </c>
      <c r="L2" s="65">
        <v>35.27668656499918</v>
      </c>
      <c r="M2" s="63">
        <v>0.0021701299293388214</v>
      </c>
      <c r="N2" s="64">
        <v>635889.8410834234</v>
      </c>
      <c r="O2" s="65">
        <v>634843.4788840609</v>
      </c>
      <c r="P2" s="65">
        <v>1046.3621993624838</v>
      </c>
      <c r="Q2" s="63">
        <v>0.0016482207570310053</v>
      </c>
    </row>
    <row r="3" ht="22.5" customHeight="1">
      <c r="A3" s="66">
        <v>45710.0</v>
      </c>
      <c r="B3" s="67">
        <v>102112.35</v>
      </c>
      <c r="C3" s="68">
        <v>100701.09</v>
      </c>
      <c r="D3" s="68">
        <v>1411.2600000000093</v>
      </c>
      <c r="E3" s="69">
        <v>0.014014346815908442</v>
      </c>
      <c r="F3" s="70">
        <v>555166.7191316176</v>
      </c>
      <c r="G3" s="22">
        <v>567339.1467938874</v>
      </c>
      <c r="H3" s="22">
        <v>-12172.427662269794</v>
      </c>
      <c r="I3" s="69">
        <v>-0.021455293065986862</v>
      </c>
      <c r="J3" s="70">
        <v>16932.0092452</v>
      </c>
      <c r="K3" s="22">
        <v>17267.164630509997</v>
      </c>
      <c r="L3" s="22">
        <v>-335.15538530999765</v>
      </c>
      <c r="M3" s="69">
        <v>-0.019409983774510326</v>
      </c>
      <c r="N3" s="70">
        <v>657279.0691316176</v>
      </c>
      <c r="O3" s="22">
        <v>668040.2367938873</v>
      </c>
      <c r="P3" s="22">
        <v>-10761.167662269785</v>
      </c>
      <c r="Q3" s="69">
        <v>-0.01610856213379549</v>
      </c>
    </row>
    <row r="4" ht="22.5" customHeight="1">
      <c r="A4" s="66">
        <v>45713.0</v>
      </c>
      <c r="B4" s="67">
        <v>135785.0</v>
      </c>
      <c r="C4" s="68">
        <v>135241.56999999998</v>
      </c>
      <c r="D4" s="68">
        <v>543.4300000000221</v>
      </c>
      <c r="E4" s="69">
        <v>0.004018217179821428</v>
      </c>
      <c r="F4" s="70">
        <v>656080.845990862</v>
      </c>
      <c r="G4" s="22">
        <v>677789.2576822675</v>
      </c>
      <c r="H4" s="22">
        <v>-21708.41169140546</v>
      </c>
      <c r="I4" s="69">
        <v>-0.032028261654128906</v>
      </c>
      <c r="J4" s="70">
        <v>20051.677011899996</v>
      </c>
      <c r="K4" s="22">
        <v>20631.01856976</v>
      </c>
      <c r="L4" s="22">
        <v>-579.3415578600034</v>
      </c>
      <c r="M4" s="69">
        <v>-0.02808109332561872</v>
      </c>
      <c r="N4" s="70">
        <v>791865.845990862</v>
      </c>
      <c r="O4" s="22">
        <v>813030.8276822674</v>
      </c>
      <c r="P4" s="22">
        <v>-21164.98169140541</v>
      </c>
      <c r="Q4" s="69">
        <v>-0.026032200712168677</v>
      </c>
    </row>
    <row r="5" ht="22.5" customHeight="1">
      <c r="A5" s="66">
        <v>45714.0</v>
      </c>
      <c r="B5" s="67">
        <v>144532.0</v>
      </c>
      <c r="C5" s="68">
        <v>144949.06999999998</v>
      </c>
      <c r="D5" s="68">
        <v>-417.0699999999779</v>
      </c>
      <c r="E5" s="69">
        <v>-0.0028773554738914706</v>
      </c>
      <c r="F5" s="70">
        <v>701260.8496737642</v>
      </c>
      <c r="G5" s="22">
        <v>734743.3077258423</v>
      </c>
      <c r="H5" s="22">
        <v>-33482.458052078146</v>
      </c>
      <c r="I5" s="69">
        <v>-0.04557027971539087</v>
      </c>
      <c r="J5" s="70">
        <v>21381.6676803</v>
      </c>
      <c r="K5" s="22">
        <v>22365.60356976</v>
      </c>
      <c r="L5" s="22">
        <v>-983.9358894599973</v>
      </c>
      <c r="M5" s="69">
        <v>-0.04399326342305171</v>
      </c>
      <c r="N5" s="70">
        <v>845792.8496737642</v>
      </c>
      <c r="O5" s="22">
        <v>879692.3777258423</v>
      </c>
      <c r="P5" s="22">
        <v>-33899.528052078094</v>
      </c>
      <c r="Q5" s="69">
        <v>-0.03853566190912586</v>
      </c>
    </row>
    <row r="6" ht="22.5" customHeight="1">
      <c r="A6" s="66">
        <v>45715.0</v>
      </c>
      <c r="B6" s="67">
        <v>144532.0</v>
      </c>
      <c r="C6" s="68">
        <v>144949.06999999998</v>
      </c>
      <c r="D6" s="68">
        <v>-417.0699999999779</v>
      </c>
      <c r="E6" s="69">
        <v>-0.0028773554738914706</v>
      </c>
      <c r="F6" s="70">
        <v>723592.2892179912</v>
      </c>
      <c r="G6" s="22">
        <v>755499.1348570447</v>
      </c>
      <c r="H6" s="22">
        <v>-31906.8456390535</v>
      </c>
      <c r="I6" s="69">
        <v>-0.04223280235137649</v>
      </c>
      <c r="J6" s="70">
        <v>22076.6249258</v>
      </c>
      <c r="K6" s="22">
        <v>23015.876969760004</v>
      </c>
      <c r="L6" s="22">
        <v>-939.2520439600048</v>
      </c>
      <c r="M6" s="69">
        <v>-0.04080887489944724</v>
      </c>
      <c r="N6" s="70">
        <v>868124.2892179912</v>
      </c>
      <c r="O6" s="22">
        <v>900448.2048570446</v>
      </c>
      <c r="P6" s="22">
        <v>-32323.915639053448</v>
      </c>
      <c r="Q6" s="69">
        <v>-0.035897584630295534</v>
      </c>
    </row>
    <row r="7" ht="22.5" customHeight="1">
      <c r="A7" s="66">
        <v>45716.0</v>
      </c>
      <c r="B7" s="67">
        <v>143051.6</v>
      </c>
      <c r="C7" s="68">
        <v>144949.06999999998</v>
      </c>
      <c r="D7" s="68">
        <v>-1897.469999999972</v>
      </c>
      <c r="E7" s="69">
        <v>-0.013090597959683165</v>
      </c>
      <c r="F7" s="70">
        <v>711121.8706098327</v>
      </c>
      <c r="G7" s="22">
        <v>758287.301018311</v>
      </c>
      <c r="H7" s="22">
        <v>-47165.43040847825</v>
      </c>
      <c r="I7" s="69">
        <v>-0.0621999476255759</v>
      </c>
      <c r="J7" s="70">
        <v>21583.487446000003</v>
      </c>
      <c r="K7" s="22">
        <v>23100.876969760004</v>
      </c>
      <c r="L7" s="22">
        <v>-1517.3895237600009</v>
      </c>
      <c r="M7" s="69">
        <v>-0.06568536448838397</v>
      </c>
      <c r="N7" s="70">
        <v>854173.4706098327</v>
      </c>
      <c r="O7" s="22">
        <v>903236.3710183109</v>
      </c>
      <c r="P7" s="22">
        <v>-49062.90040847822</v>
      </c>
      <c r="Q7" s="69">
        <v>-0.05431900439656187</v>
      </c>
    </row>
    <row r="8" ht="22.5" customHeight="1">
      <c r="A8" s="66">
        <v>45717.0</v>
      </c>
      <c r="B8" s="67">
        <v>143051.6</v>
      </c>
      <c r="C8" s="68">
        <v>144949.06999999998</v>
      </c>
      <c r="D8" s="68">
        <v>-1897.469999999972</v>
      </c>
      <c r="E8" s="69">
        <v>-0.013090597959683165</v>
      </c>
      <c r="F8" s="70">
        <v>750796.777476324</v>
      </c>
      <c r="G8" s="22">
        <v>784044.0519965402</v>
      </c>
      <c r="H8" s="22">
        <v>-33247.27452021616</v>
      </c>
      <c r="I8" s="69">
        <v>-0.042404855231734956</v>
      </c>
      <c r="J8" s="70">
        <v>22806.7064847</v>
      </c>
      <c r="K8" s="22">
        <v>23886.096969759998</v>
      </c>
      <c r="L8" s="22">
        <v>-1079.3904850599974</v>
      </c>
      <c r="M8" s="69">
        <v>-0.045189069039890235</v>
      </c>
      <c r="N8" s="70">
        <v>893848.377476324</v>
      </c>
      <c r="O8" s="22">
        <v>928993.1219965401</v>
      </c>
      <c r="P8" s="22">
        <v>-35144.74452021613</v>
      </c>
      <c r="Q8" s="69">
        <v>-0.03783100615931904</v>
      </c>
    </row>
    <row r="9" ht="22.5" customHeight="1">
      <c r="A9" s="66">
        <v>45720.0</v>
      </c>
      <c r="B9" s="68">
        <v>173204.1</v>
      </c>
      <c r="C9" s="68">
        <v>177918.81999999998</v>
      </c>
      <c r="D9" s="68">
        <v>-4714.719999999972</v>
      </c>
      <c r="E9" s="69">
        <v>-0.026499276467773183</v>
      </c>
      <c r="F9" s="71">
        <v>789313.0850616777</v>
      </c>
      <c r="G9" s="37">
        <v>841249.6016701114</v>
      </c>
      <c r="H9" s="37">
        <v>-51936.51660843368</v>
      </c>
      <c r="I9" s="69">
        <v>-0.06173734466598907</v>
      </c>
      <c r="J9" s="37">
        <v>23989.316359300003</v>
      </c>
      <c r="K9" s="37">
        <v>25630.064667884995</v>
      </c>
      <c r="L9" s="37">
        <v>-1640.7483085849926</v>
      </c>
      <c r="M9" s="69">
        <v>-0.06401654969840495</v>
      </c>
      <c r="N9" s="71">
        <v>962517.1850616777</v>
      </c>
      <c r="O9" s="37">
        <v>1019168.4216701114</v>
      </c>
      <c r="P9" s="37">
        <v>-56651.23660843365</v>
      </c>
      <c r="Q9" s="69">
        <v>-0.05558574559796434</v>
      </c>
    </row>
    <row r="10" ht="22.5" customHeight="1">
      <c r="A10" s="66">
        <v>45721.0</v>
      </c>
      <c r="B10" s="68">
        <v>173468.2</v>
      </c>
      <c r="C10" s="68">
        <v>177918.81999999998</v>
      </c>
      <c r="D10" s="68">
        <v>-4450.619999999966</v>
      </c>
      <c r="E10" s="69">
        <v>-0.025014891623044527</v>
      </c>
      <c r="F10" s="71">
        <v>812048.5807338398</v>
      </c>
      <c r="G10" s="37">
        <v>871269.2699131656</v>
      </c>
      <c r="H10" s="37">
        <v>-59220.689179325826</v>
      </c>
      <c r="I10" s="69">
        <v>-0.06797059327620726</v>
      </c>
      <c r="J10" s="37">
        <v>24732.3185385</v>
      </c>
      <c r="K10" s="37">
        <v>26545.24391226</v>
      </c>
      <c r="L10" s="37">
        <v>-1812.925373760001</v>
      </c>
      <c r="M10" s="69">
        <v>-0.06829567585637049</v>
      </c>
      <c r="N10" s="71">
        <v>985516.7807338398</v>
      </c>
      <c r="O10" s="37">
        <v>1049188.0899131657</v>
      </c>
      <c r="P10" s="37">
        <v>-63671.30917932582</v>
      </c>
      <c r="Q10" s="69">
        <v>-0.0606862675924919</v>
      </c>
    </row>
    <row r="11" ht="22.5" customHeight="1">
      <c r="A11" s="66">
        <v>45722.0</v>
      </c>
      <c r="B11" s="68">
        <v>173843.4</v>
      </c>
      <c r="C11" s="68">
        <v>177918.81999999998</v>
      </c>
      <c r="D11" s="68">
        <v>-4075.4199999999837</v>
      </c>
      <c r="E11" s="69">
        <v>-0.02290606468725447</v>
      </c>
      <c r="F11" s="71">
        <v>827245.9150441336</v>
      </c>
      <c r="G11" s="37">
        <v>871269.2699131656</v>
      </c>
      <c r="H11" s="37">
        <v>-44023.354869032046</v>
      </c>
      <c r="I11" s="69">
        <v>-0.05052784069088033</v>
      </c>
      <c r="J11" s="37">
        <v>25194.6512289</v>
      </c>
      <c r="K11" s="37">
        <v>26545.24391226</v>
      </c>
      <c r="L11" s="37">
        <v>-1350.5926833600024</v>
      </c>
      <c r="M11" s="69">
        <v>-0.05087889521091298</v>
      </c>
      <c r="N11" s="71">
        <v>1001089.3150441336</v>
      </c>
      <c r="O11" s="37">
        <v>1049188.0899131657</v>
      </c>
      <c r="P11" s="37">
        <v>-48098.77486903209</v>
      </c>
      <c r="Q11" s="69">
        <v>-0.045843805635472766</v>
      </c>
    </row>
    <row r="12" ht="22.5" customHeight="1">
      <c r="A12" s="66">
        <v>45723.0</v>
      </c>
      <c r="B12" s="68">
        <v>173057.80000000002</v>
      </c>
      <c r="C12" s="68">
        <v>177918.81999999998</v>
      </c>
      <c r="D12" s="68">
        <v>-4861.01999999996</v>
      </c>
      <c r="E12" s="69">
        <v>-0.027321561597586815</v>
      </c>
      <c r="F12" s="71">
        <v>822706.2074002066</v>
      </c>
      <c r="G12" s="37">
        <v>898986.4530633647</v>
      </c>
      <c r="H12" s="37">
        <v>-76280.24566315813</v>
      </c>
      <c r="I12" s="69">
        <v>-0.0848513850272464</v>
      </c>
      <c r="J12" s="37">
        <v>25025.4393946</v>
      </c>
      <c r="K12" s="37">
        <v>27390.229623835</v>
      </c>
      <c r="L12" s="37">
        <v>-2364.790229235001</v>
      </c>
      <c r="M12" s="69">
        <v>-0.08633699905812979</v>
      </c>
      <c r="N12" s="71">
        <v>995764.0074002066</v>
      </c>
      <c r="O12" s="37">
        <v>1076905.2730633647</v>
      </c>
      <c r="P12" s="37">
        <v>-81141.26566315803</v>
      </c>
      <c r="Q12" s="69">
        <v>-0.07534670661639867</v>
      </c>
    </row>
    <row r="13" ht="22.5" customHeight="1">
      <c r="A13" s="66">
        <v>45724.0</v>
      </c>
      <c r="B13" s="68">
        <v>171393.80000000002</v>
      </c>
      <c r="C13" s="68">
        <v>177918.81999999998</v>
      </c>
      <c r="D13" s="68">
        <v>-6525.01999999996</v>
      </c>
      <c r="E13" s="69">
        <v>-0.036674141611325664</v>
      </c>
      <c r="F13" s="71">
        <v>901624.8659907756</v>
      </c>
      <c r="G13" s="37">
        <v>979752.3119193192</v>
      </c>
      <c r="H13" s="37">
        <v>-78127.44592854357</v>
      </c>
      <c r="I13" s="69">
        <v>-0.07974203783759709</v>
      </c>
      <c r="J13" s="37">
        <v>27453.409231799997</v>
      </c>
      <c r="K13" s="37">
        <v>29852.456623834998</v>
      </c>
      <c r="L13" s="37">
        <v>-2399.0473920350014</v>
      </c>
      <c r="M13" s="69">
        <v>-0.08036348305484306</v>
      </c>
      <c r="N13" s="71">
        <v>1073018.6659907757</v>
      </c>
      <c r="O13" s="37">
        <v>1157671.1319193193</v>
      </c>
      <c r="P13" s="37">
        <v>-84652.46592854359</v>
      </c>
      <c r="Q13" s="69">
        <v>-0.07312306888761844</v>
      </c>
    </row>
    <row r="14" ht="22.5" customHeight="1">
      <c r="A14" s="66">
        <v>45727.0</v>
      </c>
      <c r="B14" s="68">
        <v>170465.5</v>
      </c>
      <c r="C14" s="68">
        <v>177918.81999999998</v>
      </c>
      <c r="D14" s="68">
        <v>-7453.319999999978</v>
      </c>
      <c r="E14" s="69">
        <v>-0.04189168970432683</v>
      </c>
      <c r="F14" s="71">
        <v>838915.3166454049</v>
      </c>
      <c r="G14" s="37">
        <v>979752.3119193192</v>
      </c>
      <c r="H14" s="37">
        <v>-140836.9952739143</v>
      </c>
      <c r="I14" s="69">
        <v>-0.1437475508458019</v>
      </c>
      <c r="J14" s="37">
        <v>25509.267123300007</v>
      </c>
      <c r="K14" s="37">
        <v>29852.456623834998</v>
      </c>
      <c r="L14" s="37">
        <v>-4343.189500534991</v>
      </c>
      <c r="M14" s="69">
        <v>-0.1454885122274082</v>
      </c>
      <c r="N14" s="71">
        <v>1009380.8166454049</v>
      </c>
      <c r="O14" s="37">
        <v>1157671.1319193193</v>
      </c>
      <c r="P14" s="37">
        <v>-148290.31527391437</v>
      </c>
      <c r="Q14" s="69">
        <v>-0.12809364523762615</v>
      </c>
    </row>
    <row r="15" ht="22.5" customHeight="1">
      <c r="A15" s="66">
        <v>45728.0</v>
      </c>
      <c r="B15" s="68">
        <v>185723.4</v>
      </c>
      <c r="C15" s="68">
        <v>196048.81999999998</v>
      </c>
      <c r="D15" s="68">
        <v>-10325.419999999984</v>
      </c>
      <c r="E15" s="69">
        <v>-0.05266759575497565</v>
      </c>
      <c r="F15" s="71">
        <v>850353.2512322188</v>
      </c>
      <c r="G15" s="37">
        <v>980328.0979764722</v>
      </c>
      <c r="H15" s="37">
        <v>-129974.84674425342</v>
      </c>
      <c r="I15" s="69">
        <v>-0.1325830066612788</v>
      </c>
      <c r="J15" s="37">
        <v>25856.1913911</v>
      </c>
      <c r="K15" s="37">
        <v>29852.456623834998</v>
      </c>
      <c r="L15" s="37">
        <v>-3996.265232734997</v>
      </c>
      <c r="M15" s="69">
        <v>-0.13386721512038885</v>
      </c>
      <c r="N15" s="71">
        <v>1036076.6512322188</v>
      </c>
      <c r="O15" s="37">
        <v>1176376.9179764723</v>
      </c>
      <c r="P15" s="37">
        <v>-140300.26674425346</v>
      </c>
      <c r="Q15" s="69">
        <v>-0.11926472255643109</v>
      </c>
    </row>
    <row r="16" ht="22.5" customHeight="1">
      <c r="A16" s="66">
        <v>45729.0</v>
      </c>
      <c r="B16" s="68">
        <v>186856.2</v>
      </c>
      <c r="C16" s="68">
        <v>196554.43999999997</v>
      </c>
      <c r="D16" s="68">
        <v>-9698.239999999962</v>
      </c>
      <c r="E16" s="69">
        <v>-0.049341241032255304</v>
      </c>
      <c r="F16" s="71">
        <v>916565.6980034307</v>
      </c>
      <c r="G16" s="37">
        <v>1024739.0456649357</v>
      </c>
      <c r="H16" s="37">
        <v>-108173.34766150499</v>
      </c>
      <c r="I16" s="69">
        <v>-0.10556184827651721</v>
      </c>
      <c r="J16" s="37">
        <v>27852.204304099996</v>
      </c>
      <c r="K16" s="37">
        <v>31205.425561884997</v>
      </c>
      <c r="L16" s="37">
        <v>-3353.2212577850005</v>
      </c>
      <c r="M16" s="69">
        <v>-0.10745635406045223</v>
      </c>
      <c r="N16" s="71">
        <v>1103421.8980034308</v>
      </c>
      <c r="O16" s="37">
        <v>1221293.4856649358</v>
      </c>
      <c r="P16" s="37">
        <v>-117871.58766150498</v>
      </c>
      <c r="Q16" s="69">
        <v>-0.0965137283093994</v>
      </c>
    </row>
    <row r="17" ht="22.5" customHeight="1">
      <c r="A17" s="66">
        <v>45730.0</v>
      </c>
      <c r="B17" s="68">
        <v>185325.21</v>
      </c>
      <c r="C17" s="68">
        <v>196554.43999999997</v>
      </c>
      <c r="D17" s="68">
        <v>-11229.229999999981</v>
      </c>
      <c r="E17" s="69">
        <v>-0.05713038077389645</v>
      </c>
      <c r="F17" s="71">
        <v>903749.4244901839</v>
      </c>
      <c r="G17" s="37">
        <v>1024739.0456649357</v>
      </c>
      <c r="H17" s="37">
        <v>-120989.62117475178</v>
      </c>
      <c r="I17" s="69">
        <v>-0.1180687138707042</v>
      </c>
      <c r="J17" s="37">
        <v>27407.6078561</v>
      </c>
      <c r="K17" s="37">
        <v>31205.425561884997</v>
      </c>
      <c r="L17" s="37">
        <v>-3797.817705784997</v>
      </c>
      <c r="M17" s="69">
        <v>-0.12170376264388255</v>
      </c>
      <c r="N17" s="71">
        <v>1089074.634490184</v>
      </c>
      <c r="O17" s="37">
        <v>1221293.4856649358</v>
      </c>
      <c r="P17" s="37">
        <v>-132218.85117475176</v>
      </c>
      <c r="Q17" s="69">
        <v>-0.10826132516605125</v>
      </c>
    </row>
    <row r="18" ht="22.5" customHeight="1">
      <c r="A18" s="66">
        <v>45731.0</v>
      </c>
      <c r="B18" s="68">
        <v>184776.62</v>
      </c>
      <c r="C18" s="68">
        <v>196554.43999999997</v>
      </c>
      <c r="D18" s="68">
        <v>-11777.819999999978</v>
      </c>
      <c r="E18" s="69">
        <v>-0.05992141413849506</v>
      </c>
      <c r="F18" s="71">
        <v>925607.8254264384</v>
      </c>
      <c r="G18" s="37">
        <v>1024739.0456649357</v>
      </c>
      <c r="H18" s="37">
        <v>-99131.22023849736</v>
      </c>
      <c r="I18" s="69">
        <v>-0.09673801409038026</v>
      </c>
      <c r="J18" s="37">
        <v>28098.9595163</v>
      </c>
      <c r="K18" s="37">
        <v>31205.425561884997</v>
      </c>
      <c r="L18" s="37">
        <v>-3106.4660455849953</v>
      </c>
      <c r="M18" s="69">
        <v>-0.09954890823150005</v>
      </c>
      <c r="N18" s="71">
        <v>1110384.4454264385</v>
      </c>
      <c r="O18" s="37">
        <v>1221293.4856649358</v>
      </c>
      <c r="P18" s="37">
        <v>-110909.04023849731</v>
      </c>
      <c r="Q18" s="69">
        <v>-0.09081276657929004</v>
      </c>
    </row>
    <row r="19" ht="22.5" customHeight="1">
      <c r="A19" s="66">
        <v>45734.0</v>
      </c>
      <c r="B19" s="68">
        <v>186239.73</v>
      </c>
      <c r="C19" s="68">
        <v>196554.43999999997</v>
      </c>
      <c r="D19" s="68">
        <v>-10314.709999999963</v>
      </c>
      <c r="E19" s="69">
        <v>-0.05247762401093541</v>
      </c>
      <c r="F19" s="71">
        <v>914862.1872731438</v>
      </c>
      <c r="G19" s="37">
        <v>1006839.4109127823</v>
      </c>
      <c r="H19" s="37">
        <v>-91977.22363963851</v>
      </c>
      <c r="I19" s="69">
        <v>-0.09135242685450069</v>
      </c>
      <c r="J19" s="37">
        <v>27750.5949008</v>
      </c>
      <c r="K19" s="37">
        <v>30661.235561884998</v>
      </c>
      <c r="L19" s="37">
        <v>-2910.640661084999</v>
      </c>
      <c r="M19" s="69">
        <v>-0.0949290075153794</v>
      </c>
      <c r="N19" s="71">
        <v>1101101.9172731438</v>
      </c>
      <c r="O19" s="37">
        <v>1203393.8509127824</v>
      </c>
      <c r="P19" s="37">
        <v>-102291.93363963859</v>
      </c>
      <c r="Q19" s="69">
        <v>-0.08500287213703932</v>
      </c>
    </row>
    <row r="20" ht="22.5" customHeight="1">
      <c r="A20" s="66">
        <v>45735.0</v>
      </c>
      <c r="B20" s="68">
        <v>187163.7</v>
      </c>
      <c r="C20" s="68">
        <v>196554.43999999997</v>
      </c>
      <c r="D20" s="68">
        <v>-9390.739999999962</v>
      </c>
      <c r="E20" s="69">
        <v>-0.04777678896492983</v>
      </c>
      <c r="F20" s="71">
        <v>890865.6460139975</v>
      </c>
      <c r="G20" s="37">
        <v>1006839.4109127823</v>
      </c>
      <c r="H20" s="37">
        <v>-115973.76489878481</v>
      </c>
      <c r="I20" s="69">
        <v>-0.1151859607816157</v>
      </c>
      <c r="J20" s="37">
        <v>26998.2268707</v>
      </c>
      <c r="K20" s="37">
        <v>30661.235561884998</v>
      </c>
      <c r="L20" s="37">
        <v>-3663.0086911849976</v>
      </c>
      <c r="M20" s="69">
        <v>-0.11946709335283559</v>
      </c>
      <c r="N20" s="71">
        <v>1078029.3460139974</v>
      </c>
      <c r="O20" s="37">
        <v>1203393.8509127824</v>
      </c>
      <c r="P20" s="37">
        <v>-125364.50489878491</v>
      </c>
      <c r="Q20" s="69">
        <v>-0.10417578983280917</v>
      </c>
    </row>
    <row r="21" ht="22.5" customHeight="1">
      <c r="A21" s="66">
        <v>45736.0</v>
      </c>
      <c r="B21" s="68">
        <v>188476.08</v>
      </c>
      <c r="C21" s="68">
        <v>196554.43999999997</v>
      </c>
      <c r="D21" s="68">
        <v>-8078.359999999986</v>
      </c>
      <c r="E21" s="69">
        <v>-0.04109986017105483</v>
      </c>
      <c r="F21" s="71">
        <v>928897.6504794755</v>
      </c>
      <c r="G21" s="37">
        <v>1028996.1573440186</v>
      </c>
      <c r="H21" s="37">
        <v>-100098.50686454307</v>
      </c>
      <c r="I21" s="69">
        <v>-0.0972778237801307</v>
      </c>
      <c r="J21" s="37">
        <v>28153.02998000001</v>
      </c>
      <c r="K21" s="37">
        <v>31336.235561884998</v>
      </c>
      <c r="L21" s="37">
        <v>-3183.2055818849876</v>
      </c>
      <c r="M21" s="69">
        <v>-0.10158225851980751</v>
      </c>
      <c r="N21" s="70">
        <v>1117373.7304794756</v>
      </c>
      <c r="O21" s="37">
        <v>1225550.5973440185</v>
      </c>
      <c r="P21" s="22">
        <v>-108176.86686454294</v>
      </c>
      <c r="Q21" s="69">
        <v>-0.08826797285969347</v>
      </c>
    </row>
    <row r="22" ht="22.5" customHeight="1">
      <c r="A22" s="66">
        <v>45737.0</v>
      </c>
      <c r="B22" s="68">
        <v>188648.32</v>
      </c>
      <c r="C22" s="68">
        <v>196554.43999999997</v>
      </c>
      <c r="D22" s="68">
        <v>-7906.119999999966</v>
      </c>
      <c r="E22" s="69">
        <v>-0.04022356350739249</v>
      </c>
      <c r="F22" s="71">
        <v>929409.0929050795</v>
      </c>
      <c r="G22" s="37">
        <v>1028996.1573440186</v>
      </c>
      <c r="H22" s="37">
        <v>-99587.0644389391</v>
      </c>
      <c r="I22" s="69">
        <v>-0.0967807933277293</v>
      </c>
      <c r="J22" s="37">
        <v>28146.512244099995</v>
      </c>
      <c r="K22" s="37">
        <v>31336.235561884998</v>
      </c>
      <c r="L22" s="37">
        <v>-3189.723317785003</v>
      </c>
      <c r="M22" s="69">
        <v>-0.10179025210241714</v>
      </c>
      <c r="N22" s="70">
        <v>1118057.4129050795</v>
      </c>
      <c r="O22" s="37">
        <v>1225550.5973440185</v>
      </c>
      <c r="P22" s="22">
        <v>-107493.18443893897</v>
      </c>
      <c r="Q22" s="69">
        <v>-0.08771011549575793</v>
      </c>
    </row>
    <row r="23" ht="22.5" customHeight="1">
      <c r="A23" s="66">
        <v>45738.0</v>
      </c>
      <c r="B23" s="68">
        <v>187253.9</v>
      </c>
      <c r="C23" s="68">
        <v>196554.43999999997</v>
      </c>
      <c r="D23" s="68">
        <v>-9300.539999999979</v>
      </c>
      <c r="E23" s="69">
        <v>-0.04731788302518112</v>
      </c>
      <c r="F23" s="71">
        <v>939841.4659018621</v>
      </c>
      <c r="G23" s="37">
        <v>1028996.1573440186</v>
      </c>
      <c r="H23" s="37">
        <v>-89154.69144215644</v>
      </c>
      <c r="I23" s="69">
        <v>-0.08664239492621337</v>
      </c>
      <c r="J23" s="37">
        <v>28488.6773538</v>
      </c>
      <c r="K23" s="37">
        <v>31336.235561884998</v>
      </c>
      <c r="L23" s="37">
        <v>-2847.5582080849963</v>
      </c>
      <c r="M23" s="69">
        <v>-0.09087110040583651</v>
      </c>
      <c r="N23" s="70">
        <v>1127095.365901862</v>
      </c>
      <c r="O23" s="37">
        <v>1225550.5973440185</v>
      </c>
      <c r="P23" s="22">
        <v>-98455.23144215648</v>
      </c>
      <c r="Q23" s="69">
        <v>-0.08033550932578884</v>
      </c>
    </row>
    <row r="24" ht="22.5" customHeight="1">
      <c r="A24" s="60">
        <v>45741.0</v>
      </c>
      <c r="B24" s="62">
        <v>187148.49000000002</v>
      </c>
      <c r="C24" s="62">
        <v>196554.43999999997</v>
      </c>
      <c r="D24" s="62">
        <v>-9405.949999999953</v>
      </c>
      <c r="E24" s="72">
        <v>-0.04785417210621116</v>
      </c>
      <c r="F24" s="64">
        <v>979429.6807300138</v>
      </c>
      <c r="G24" s="65">
        <v>1028996.1573440186</v>
      </c>
      <c r="H24" s="65">
        <v>-49566.476614004816</v>
      </c>
      <c r="I24" s="63">
        <v>-0.048169739274773145</v>
      </c>
      <c r="J24" s="65">
        <v>29653.898647100003</v>
      </c>
      <c r="K24" s="65">
        <v>31336.235561884998</v>
      </c>
      <c r="L24" s="65">
        <v>-1682.3369147849953</v>
      </c>
      <c r="M24" s="72">
        <v>-0.05368663097590642</v>
      </c>
      <c r="N24" s="64">
        <v>1166578.1707300139</v>
      </c>
      <c r="O24" s="65">
        <v>1225550.5973440185</v>
      </c>
      <c r="P24" s="65">
        <v>-58972.42661400465</v>
      </c>
      <c r="Q24" s="63">
        <v>-0.048119128448721876</v>
      </c>
    </row>
    <row r="25" ht="22.5" customHeight="1">
      <c r="A25" s="60">
        <v>45742.0</v>
      </c>
      <c r="B25" s="62">
        <v>188849.19999999998</v>
      </c>
      <c r="C25" s="62">
        <v>196579.43999999997</v>
      </c>
      <c r="D25" s="62">
        <v>-7730.239999999991</v>
      </c>
      <c r="E25" s="72">
        <v>-0.03932374616592657</v>
      </c>
      <c r="F25" s="64">
        <v>988710.060135084</v>
      </c>
      <c r="G25" s="65">
        <v>1028996.1573440186</v>
      </c>
      <c r="H25" s="65">
        <v>-40286.0972089346</v>
      </c>
      <c r="I25" s="63">
        <v>-0.039150872354002365</v>
      </c>
      <c r="J25" s="65">
        <v>29906.541455199997</v>
      </c>
      <c r="K25" s="65">
        <v>31336.235561884998</v>
      </c>
      <c r="L25" s="65">
        <v>-1429.6941066850013</v>
      </c>
      <c r="M25" s="72">
        <v>-0.04562430939930679</v>
      </c>
      <c r="N25" s="64">
        <v>1177559.260135084</v>
      </c>
      <c r="O25" s="65">
        <v>1225575.5973440185</v>
      </c>
      <c r="P25" s="65">
        <v>-48016.337208934594</v>
      </c>
      <c r="Q25" s="63">
        <v>-0.039178600906375934</v>
      </c>
    </row>
    <row r="26" ht="22.5" customHeight="1">
      <c r="A26" s="60">
        <v>45743.0</v>
      </c>
      <c r="B26" s="62">
        <v>188922.99000000002</v>
      </c>
      <c r="C26" s="62">
        <v>196109.43999999997</v>
      </c>
      <c r="D26" s="62">
        <v>-7186.449999999953</v>
      </c>
      <c r="E26" s="72">
        <v>-0.03664509979733742</v>
      </c>
      <c r="F26" s="64">
        <v>965743.5948723449</v>
      </c>
      <c r="G26" s="65">
        <v>1028996.1573440186</v>
      </c>
      <c r="H26" s="65">
        <v>-63252.56247167371</v>
      </c>
      <c r="I26" s="63">
        <v>-0.061470163926498345</v>
      </c>
      <c r="J26" s="65">
        <v>29171.2558108</v>
      </c>
      <c r="K26" s="65">
        <v>31336.235561884998</v>
      </c>
      <c r="L26" s="65">
        <v>-2164.9797510849967</v>
      </c>
      <c r="M26" s="72">
        <v>-0.06908869914541722</v>
      </c>
      <c r="N26" s="64">
        <v>1154666.584872345</v>
      </c>
      <c r="O26" s="65">
        <v>1225105.5973440185</v>
      </c>
      <c r="P26" s="65">
        <v>-70439.01247167354</v>
      </c>
      <c r="Q26" s="63">
        <v>-0.05749627838153919</v>
      </c>
    </row>
    <row r="27" ht="22.5" customHeight="1">
      <c r="A27" s="60">
        <v>45744.0</v>
      </c>
      <c r="B27" s="62">
        <v>185634.71</v>
      </c>
      <c r="C27" s="62">
        <v>196109.43999999997</v>
      </c>
      <c r="D27" s="62">
        <v>-10474.729999999981</v>
      </c>
      <c r="E27" s="72">
        <v>-0.053412676105749846</v>
      </c>
      <c r="F27" s="64">
        <v>958791.1407902015</v>
      </c>
      <c r="G27" s="65">
        <v>1028996.1573440186</v>
      </c>
      <c r="H27" s="65">
        <v>-70205.01655381708</v>
      </c>
      <c r="I27" s="63">
        <v>-0.06822670430084593</v>
      </c>
      <c r="J27" s="65">
        <v>28942.80762910001</v>
      </c>
      <c r="K27" s="65">
        <v>31336.235561884998</v>
      </c>
      <c r="L27" s="65">
        <v>-2393.427932784987</v>
      </c>
      <c r="M27" s="72">
        <v>-0.07637892330935149</v>
      </c>
      <c r="N27" s="64">
        <v>1144425.8507902015</v>
      </c>
      <c r="O27" s="65">
        <v>1225105.5973440185</v>
      </c>
      <c r="P27" s="65">
        <v>-80679.74655381707</v>
      </c>
      <c r="Q27" s="63">
        <v>-0.06585534073856787</v>
      </c>
    </row>
    <row r="28" ht="22.5" customHeight="1">
      <c r="A28" s="60">
        <v>45745.0</v>
      </c>
      <c r="B28" s="62">
        <v>183930.06999999998</v>
      </c>
      <c r="C28" s="62">
        <v>196109.43999999997</v>
      </c>
      <c r="D28" s="62">
        <v>-12179.369999999995</v>
      </c>
      <c r="E28" s="72">
        <v>-0.062104965472340325</v>
      </c>
      <c r="F28" s="64">
        <v>935684.4907550275</v>
      </c>
      <c r="G28" s="65">
        <v>1028996.1573440186</v>
      </c>
      <c r="H28" s="65">
        <v>-93311.66658899107</v>
      </c>
      <c r="I28" s="63">
        <v>-0.09068223036890768</v>
      </c>
      <c r="J28" s="65">
        <v>28206.630020100005</v>
      </c>
      <c r="K28" s="65">
        <v>31336.235561884998</v>
      </c>
      <c r="L28" s="65">
        <v>-3129.605541784993</v>
      </c>
      <c r="M28" s="72">
        <v>-0.09987177737429336</v>
      </c>
      <c r="N28" s="64">
        <v>1119614.5607550275</v>
      </c>
      <c r="O28" s="65">
        <v>1225105.5973440185</v>
      </c>
      <c r="P28" s="65">
        <v>-105491.03658899106</v>
      </c>
      <c r="Q28" s="63">
        <v>-0.08610770926007646</v>
      </c>
      <c r="Z28" s="73">
        <v>3453.0</v>
      </c>
      <c r="AA28" s="73"/>
      <c r="AB28" s="73"/>
      <c r="AC28" s="73"/>
      <c r="AD28" s="73"/>
      <c r="AE28" s="73"/>
    </row>
    <row r="29" ht="22.5" customHeight="1">
      <c r="A29" s="60">
        <v>45748.0</v>
      </c>
      <c r="B29" s="62">
        <v>189640.9</v>
      </c>
      <c r="C29" s="62">
        <v>208302.93999999997</v>
      </c>
      <c r="D29" s="62">
        <v>-18662.03999999998</v>
      </c>
      <c r="E29" s="72">
        <v>-0.08959086223170917</v>
      </c>
      <c r="F29" s="64">
        <v>978565.337367695</v>
      </c>
      <c r="G29" s="65">
        <v>1073009.3031993122</v>
      </c>
      <c r="H29" s="65">
        <v>-94443.96583161713</v>
      </c>
      <c r="I29" s="63">
        <v>-0.08801784434675503</v>
      </c>
      <c r="J29" s="65">
        <v>29427.881315000002</v>
      </c>
      <c r="K29" s="65">
        <v>32677.085561885</v>
      </c>
      <c r="L29" s="65">
        <v>-3249.2042468849977</v>
      </c>
      <c r="M29" s="72">
        <v>-0.09943372216385521</v>
      </c>
      <c r="N29" s="64">
        <v>1168206.237367695</v>
      </c>
      <c r="O29" s="65">
        <v>1281312.2431993121</v>
      </c>
      <c r="P29" s="65">
        <v>-113106.00583161716</v>
      </c>
      <c r="Q29" s="63">
        <v>-0.0882735698748983</v>
      </c>
    </row>
    <row r="30" ht="22.5" customHeight="1">
      <c r="A30" s="60">
        <v>45749.0</v>
      </c>
      <c r="B30" s="62">
        <v>193240.24000000002</v>
      </c>
      <c r="C30" s="62">
        <v>208302.93999999997</v>
      </c>
      <c r="D30" s="62">
        <v>-15062.699999999953</v>
      </c>
      <c r="E30" s="72">
        <v>-0.07231150938148043</v>
      </c>
      <c r="F30" s="64">
        <v>991575.1733522279</v>
      </c>
      <c r="G30" s="65">
        <v>1073009.3031993122</v>
      </c>
      <c r="H30" s="65">
        <v>-81434.12984708429</v>
      </c>
      <c r="I30" s="63">
        <v>-0.07589321882324616</v>
      </c>
      <c r="J30" s="65">
        <v>29848.9313167</v>
      </c>
      <c r="K30" s="65">
        <v>32677.085561885</v>
      </c>
      <c r="L30" s="65">
        <v>-2828.154245185</v>
      </c>
      <c r="M30" s="72">
        <v>-0.08654854606996525</v>
      </c>
      <c r="N30" s="64">
        <v>1184815.413352228</v>
      </c>
      <c r="O30" s="65">
        <v>1281312.2431993121</v>
      </c>
      <c r="P30" s="65">
        <v>-96496.82984708413</v>
      </c>
      <c r="Q30" s="63">
        <v>-0.07531094029519371</v>
      </c>
    </row>
    <row r="31" ht="22.5" customHeight="1">
      <c r="A31" s="66">
        <v>45751.0</v>
      </c>
      <c r="B31" s="68">
        <v>192964.36</v>
      </c>
      <c r="C31" s="68">
        <v>208302.93999999997</v>
      </c>
      <c r="D31" s="68">
        <v>-15338.579999999987</v>
      </c>
      <c r="E31" s="69">
        <v>-0.07363592659805948</v>
      </c>
      <c r="F31" s="71">
        <v>964816.3242337797</v>
      </c>
      <c r="G31" s="37">
        <v>1085638.3204170216</v>
      </c>
      <c r="H31" s="37">
        <v>-120821.99618324195</v>
      </c>
      <c r="I31" s="69">
        <v>-0.11129120436429613</v>
      </c>
      <c r="J31" s="37">
        <v>29131.367449200006</v>
      </c>
      <c r="K31" s="37">
        <v>33061.825561884994</v>
      </c>
      <c r="L31" s="37">
        <v>-3930.458112684988</v>
      </c>
      <c r="M31" s="69">
        <v>-0.1188820655207914</v>
      </c>
      <c r="N31" s="70">
        <v>1157780.6842337796</v>
      </c>
      <c r="O31" s="37">
        <v>1293941.2604170216</v>
      </c>
      <c r="P31" s="22">
        <v>-136160.57618324202</v>
      </c>
      <c r="Q31" s="69">
        <v>-0.10522933331560903</v>
      </c>
    </row>
    <row r="32" ht="22.5" customHeight="1">
      <c r="A32" s="66">
        <v>45752.0</v>
      </c>
      <c r="B32" s="68">
        <v>192964.36</v>
      </c>
      <c r="C32" s="68">
        <v>208302.93999999997</v>
      </c>
      <c r="D32" s="68">
        <v>-15338.579999999987</v>
      </c>
      <c r="E32" s="69">
        <v>-0.07363592659805948</v>
      </c>
      <c r="F32" s="71">
        <v>898441.7195211431</v>
      </c>
      <c r="G32" s="37">
        <v>1085638.3204170216</v>
      </c>
      <c r="H32" s="37">
        <v>-187196.6008958785</v>
      </c>
      <c r="I32" s="69">
        <v>-0.1724299864654478</v>
      </c>
      <c r="J32" s="37">
        <v>27127.273042200006</v>
      </c>
      <c r="K32" s="37">
        <v>33061.825561884994</v>
      </c>
      <c r="L32" s="37">
        <v>-5934.5525196849885</v>
      </c>
      <c r="M32" s="69">
        <v>-0.1794986338118782</v>
      </c>
      <c r="N32" s="70">
        <v>1091406.079521143</v>
      </c>
      <c r="O32" s="37">
        <v>1293941.2604170216</v>
      </c>
      <c r="P32" s="22">
        <v>-202535.18089587847</v>
      </c>
      <c r="Q32" s="69">
        <v>-0.15652579223774335</v>
      </c>
    </row>
    <row r="33" ht="22.5" customHeight="1">
      <c r="A33" s="66">
        <v>45755.0</v>
      </c>
      <c r="B33" s="68">
        <v>173197.39999999997</v>
      </c>
      <c r="C33" s="68">
        <v>208302.93999999997</v>
      </c>
      <c r="D33" s="68">
        <v>-35105.54000000001</v>
      </c>
      <c r="E33" s="69">
        <v>-0.16853117867659484</v>
      </c>
      <c r="F33" s="70">
        <v>891693.7987146192</v>
      </c>
      <c r="G33" s="37">
        <v>1085638.3204170219</v>
      </c>
      <c r="H33" s="22">
        <v>-193944.52170240262</v>
      </c>
      <c r="I33" s="69">
        <v>-0.17864561157707062</v>
      </c>
      <c r="J33" s="22">
        <v>27023.153300400005</v>
      </c>
      <c r="K33" s="37">
        <v>33061.825561884994</v>
      </c>
      <c r="L33" s="22">
        <v>-6038.67226148499</v>
      </c>
      <c r="M33" s="69">
        <v>-0.1826478773890397</v>
      </c>
      <c r="N33" s="70">
        <v>1064891.1987146193</v>
      </c>
      <c r="O33" s="37">
        <v>1293941.2604170218</v>
      </c>
      <c r="P33" s="22">
        <v>-229050.06170240254</v>
      </c>
      <c r="Q33" s="69">
        <v>-0.17701735674506774</v>
      </c>
    </row>
    <row r="34" ht="22.5" customHeight="1">
      <c r="A34" s="66">
        <v>45756.0</v>
      </c>
      <c r="B34" s="68">
        <v>168578.62</v>
      </c>
      <c r="C34" s="68">
        <v>208302.93999999997</v>
      </c>
      <c r="D34" s="68">
        <v>-39724.31999999998</v>
      </c>
      <c r="E34" s="69">
        <v>-0.19070455750648543</v>
      </c>
      <c r="F34" s="70">
        <v>876285.9062000018</v>
      </c>
      <c r="G34" s="37">
        <v>1085638.3204170219</v>
      </c>
      <c r="H34" s="22">
        <v>-209352.41421702004</v>
      </c>
      <c r="I34" s="69">
        <v>-0.19283808454421758</v>
      </c>
      <c r="J34" s="22">
        <v>26475.261162500006</v>
      </c>
      <c r="K34" s="37">
        <v>33061.825561884994</v>
      </c>
      <c r="L34" s="22">
        <v>-6586.564399384988</v>
      </c>
      <c r="M34" s="69">
        <v>-0.1992196222515385</v>
      </c>
      <c r="N34" s="70">
        <v>1044864.5262000018</v>
      </c>
      <c r="O34" s="37">
        <v>1293941.2604170218</v>
      </c>
      <c r="P34" s="22">
        <v>-249076.73421701998</v>
      </c>
      <c r="Q34" s="69">
        <v>-0.1924946223113293</v>
      </c>
    </row>
    <row r="35" ht="22.5" customHeight="1">
      <c r="A35" s="66">
        <v>45757.0</v>
      </c>
      <c r="B35" s="68">
        <v>160739.5</v>
      </c>
      <c r="C35" s="68">
        <v>208302.93999999997</v>
      </c>
      <c r="D35" s="68">
        <v>-47563.43999999997</v>
      </c>
      <c r="E35" s="69">
        <v>-0.22833782374843092</v>
      </c>
      <c r="F35" s="70">
        <v>1011086.0309855968</v>
      </c>
      <c r="G35" s="37">
        <v>1125158.0780960605</v>
      </c>
      <c r="H35" s="22">
        <v>-114072.04711046373</v>
      </c>
      <c r="I35" s="69">
        <v>-0.10138312947411893</v>
      </c>
      <c r="J35" s="22">
        <v>31020.998937999997</v>
      </c>
      <c r="K35" s="37">
        <v>34265.785561885</v>
      </c>
      <c r="L35" s="22">
        <v>-3244.786623885004</v>
      </c>
      <c r="M35" s="69">
        <v>-0.094694651550446</v>
      </c>
      <c r="N35" s="70">
        <v>1171825.5309855968</v>
      </c>
      <c r="O35" s="37">
        <v>1333461.0180960605</v>
      </c>
      <c r="P35" s="22">
        <v>-161635.48711046367</v>
      </c>
      <c r="Q35" s="69">
        <v>-0.12121500735075834</v>
      </c>
    </row>
    <row r="36" ht="22.5" customHeight="1">
      <c r="A36" s="66">
        <v>45758.0</v>
      </c>
      <c r="B36" s="68">
        <v>217314.14</v>
      </c>
      <c r="C36" s="68">
        <v>246544.43999999997</v>
      </c>
      <c r="D36" s="68">
        <v>-29230.29999999996</v>
      </c>
      <c r="E36" s="69">
        <v>-0.11855996428067882</v>
      </c>
      <c r="F36" s="70">
        <v>971212.3169486886</v>
      </c>
      <c r="G36" s="37">
        <v>1124649.2968308614</v>
      </c>
      <c r="H36" s="22">
        <v>-153436.97988217277</v>
      </c>
      <c r="I36" s="69">
        <v>-0.13643095702326175</v>
      </c>
      <c r="J36" s="22">
        <v>29609.777199700005</v>
      </c>
      <c r="K36" s="37">
        <v>34250.285661885006</v>
      </c>
      <c r="L36" s="22">
        <v>-4640.508462185</v>
      </c>
      <c r="M36" s="69">
        <v>-0.1354881681278685</v>
      </c>
      <c r="N36" s="70">
        <v>1188526.4569486887</v>
      </c>
      <c r="O36" s="37">
        <v>1371193.7368308613</v>
      </c>
      <c r="P36" s="22">
        <v>-182667.2798821726</v>
      </c>
      <c r="Q36" s="69">
        <v>-0.13321770292238788</v>
      </c>
    </row>
    <row r="37" ht="22.5" customHeight="1">
      <c r="A37" s="66">
        <v>45760.0</v>
      </c>
      <c r="B37" s="68">
        <v>221392.54</v>
      </c>
      <c r="C37" s="68">
        <v>246544.43999999997</v>
      </c>
      <c r="D37" s="68">
        <v>-25151.899999999965</v>
      </c>
      <c r="E37" s="69">
        <v>-0.10201771331772871</v>
      </c>
      <c r="F37" s="70">
        <v>969370.282672592</v>
      </c>
      <c r="G37" s="37">
        <v>1124649.2968308614</v>
      </c>
      <c r="H37" s="22">
        <v>-155279.0141582694</v>
      </c>
      <c r="I37" s="69">
        <v>-0.13806883140889223</v>
      </c>
      <c r="J37" s="22">
        <v>29994.7485201</v>
      </c>
      <c r="K37" s="37">
        <v>34250.285661885006</v>
      </c>
      <c r="L37" s="22">
        <v>-4255.537141785004</v>
      </c>
      <c r="M37" s="69">
        <v>-0.1242482233227247</v>
      </c>
      <c r="N37" s="70">
        <v>1190762.822672592</v>
      </c>
      <c r="O37" s="37">
        <v>1371193.7368308613</v>
      </c>
      <c r="P37" s="22">
        <v>-180430.9141582693</v>
      </c>
      <c r="Q37" s="69">
        <v>-0.13158674030650544</v>
      </c>
    </row>
    <row r="38" ht="22.5" customHeight="1">
      <c r="A38" s="66">
        <v>45762.0</v>
      </c>
      <c r="B38" s="68">
        <v>220761.46</v>
      </c>
      <c r="C38" s="68">
        <v>246544.43999999997</v>
      </c>
      <c r="D38" s="68">
        <v>-25782.97999999998</v>
      </c>
      <c r="E38" s="69">
        <v>-0.10457741411649756</v>
      </c>
      <c r="F38" s="70">
        <v>976645.4803358702</v>
      </c>
      <c r="G38" s="37">
        <v>1124649.2968308614</v>
      </c>
      <c r="H38" s="22">
        <v>-148003.8164949912</v>
      </c>
      <c r="I38" s="69">
        <v>-0.13159997246434932</v>
      </c>
      <c r="J38" s="22">
        <v>30148.49905669999</v>
      </c>
      <c r="K38" s="37">
        <v>34250.285661885</v>
      </c>
      <c r="L38" s="22">
        <v>-4101.786605185007</v>
      </c>
      <c r="M38" s="69">
        <v>-0.11975919400139862</v>
      </c>
      <c r="N38" s="70">
        <v>1197406.9403358703</v>
      </c>
      <c r="O38" s="37">
        <v>1371193.7368308613</v>
      </c>
      <c r="P38" s="22">
        <v>-173786.79649499105</v>
      </c>
      <c r="Q38" s="69">
        <v>-0.1267412414650111</v>
      </c>
    </row>
    <row r="39" ht="22.5" customHeight="1">
      <c r="A39" s="66">
        <v>45763.0</v>
      </c>
      <c r="B39" s="68">
        <v>222875.01</v>
      </c>
      <c r="C39" s="68">
        <v>246544.43999999997</v>
      </c>
      <c r="D39" s="68">
        <v>-23669.429999999964</v>
      </c>
      <c r="E39" s="69">
        <v>-0.09600472028491078</v>
      </c>
      <c r="F39" s="70">
        <v>982663.0533697361</v>
      </c>
      <c r="G39" s="37">
        <v>1124649.2968308614</v>
      </c>
      <c r="H39" s="22">
        <v>-141986.2434611253</v>
      </c>
      <c r="I39" s="69">
        <v>-0.12624935067422974</v>
      </c>
      <c r="J39" s="22">
        <v>30218.027355299993</v>
      </c>
      <c r="K39" s="37">
        <v>34250.285661885</v>
      </c>
      <c r="L39" s="22">
        <v>-4032.258306585005</v>
      </c>
      <c r="M39" s="69">
        <v>-0.11772918761586428</v>
      </c>
      <c r="N39" s="70">
        <v>1205538.063369736</v>
      </c>
      <c r="O39" s="37">
        <v>1371193.7368308613</v>
      </c>
      <c r="P39" s="22">
        <v>-165655.67346112523</v>
      </c>
      <c r="Q39" s="69">
        <v>-0.12081128217810631</v>
      </c>
    </row>
    <row r="40" ht="22.5" customHeight="1">
      <c r="A40" s="66">
        <v>45764.0</v>
      </c>
      <c r="B40" s="68">
        <v>219009.91999999998</v>
      </c>
      <c r="C40" s="68">
        <v>246544.43999999997</v>
      </c>
      <c r="D40" s="68">
        <v>-27534.51999999999</v>
      </c>
      <c r="E40" s="69">
        <v>-0.11168177225980028</v>
      </c>
      <c r="F40" s="70">
        <v>950167.2444357311</v>
      </c>
      <c r="G40" s="37">
        <v>1124649.2968308614</v>
      </c>
      <c r="H40" s="22">
        <v>-174482.05239513027</v>
      </c>
      <c r="I40" s="69">
        <v>-0.15514352152871264</v>
      </c>
      <c r="J40" s="22">
        <v>29319.4626913</v>
      </c>
      <c r="K40" s="37">
        <v>34250.285661885</v>
      </c>
      <c r="L40" s="22">
        <v>-4930.822970584999</v>
      </c>
      <c r="M40" s="69">
        <v>-0.1439644334433159</v>
      </c>
      <c r="N40" s="70">
        <v>1169177.164435731</v>
      </c>
      <c r="O40" s="37">
        <v>1371193.7368308613</v>
      </c>
      <c r="P40" s="22">
        <v>-202016.5723951303</v>
      </c>
      <c r="Q40" s="69">
        <v>-0.14732897837036235</v>
      </c>
    </row>
    <row r="41" ht="22.5" customHeight="1">
      <c r="A41" s="66">
        <v>45765.0</v>
      </c>
      <c r="B41" s="68">
        <v>216774.75</v>
      </c>
      <c r="C41" s="68">
        <v>246544.43999999997</v>
      </c>
      <c r="D41" s="68">
        <v>-29769.689999999973</v>
      </c>
      <c r="E41" s="69">
        <v>-0.12074776458150903</v>
      </c>
      <c r="F41" s="70">
        <v>955009.7057117342</v>
      </c>
      <c r="G41" s="37">
        <v>1124649.2968308614</v>
      </c>
      <c r="H41" s="22">
        <v>-169639.59111912712</v>
      </c>
      <c r="I41" s="69">
        <v>-0.15083776924695808</v>
      </c>
      <c r="J41" s="22">
        <v>29363.230405599996</v>
      </c>
      <c r="K41" s="37">
        <v>34250.285661885</v>
      </c>
      <c r="L41" s="22">
        <v>-4887.0552562850025</v>
      </c>
      <c r="M41" s="69">
        <v>-0.1426865546328421</v>
      </c>
      <c r="N41" s="70">
        <v>1171784.4557117342</v>
      </c>
      <c r="O41" s="37">
        <v>1371193.7368308613</v>
      </c>
      <c r="P41" s="22">
        <v>-199409.28111912706</v>
      </c>
      <c r="Q41" s="69">
        <v>-0.14542750288519185</v>
      </c>
    </row>
    <row r="42" ht="22.5" customHeight="1">
      <c r="A42" s="66">
        <v>45768.0</v>
      </c>
      <c r="B42" s="68">
        <v>217198.88</v>
      </c>
      <c r="C42" s="68">
        <v>246544.43999999997</v>
      </c>
      <c r="D42" s="68">
        <v>-29345.55999999997</v>
      </c>
      <c r="E42" s="69">
        <v>-0.11902746620446995</v>
      </c>
      <c r="F42" s="70">
        <v>954927.0844091024</v>
      </c>
      <c r="G42" s="37">
        <v>1124649.2968308614</v>
      </c>
      <c r="H42" s="22">
        <v>-169722.21242175892</v>
      </c>
      <c r="I42" s="69">
        <v>-0.15091123330625603</v>
      </c>
      <c r="J42" s="22">
        <v>29360.6900876</v>
      </c>
      <c r="K42" s="37">
        <v>34250.285661885</v>
      </c>
      <c r="L42" s="22">
        <v>-4889.595574284998</v>
      </c>
      <c r="M42" s="69">
        <v>-0.14276072388284702</v>
      </c>
      <c r="N42" s="70">
        <v>1172125.9644091025</v>
      </c>
      <c r="O42" s="37">
        <v>1371193.7368308613</v>
      </c>
      <c r="P42" s="22">
        <v>-199067.77242175885</v>
      </c>
      <c r="Q42" s="69">
        <v>-0.14517844347936526</v>
      </c>
    </row>
    <row r="43" ht="22.5" customHeight="1">
      <c r="A43" s="66">
        <v>45769.0</v>
      </c>
      <c r="B43" s="68">
        <v>214196.07</v>
      </c>
      <c r="C43" s="68">
        <v>246544.43999999997</v>
      </c>
      <c r="D43" s="68">
        <v>-32348.369999999966</v>
      </c>
      <c r="E43" s="69">
        <v>-0.13120705540956418</v>
      </c>
      <c r="F43" s="70">
        <v>925557.8313990989</v>
      </c>
      <c r="G43" s="37">
        <v>1124649.2968308614</v>
      </c>
      <c r="H43" s="22">
        <v>-199091.4654317625</v>
      </c>
      <c r="I43" s="69">
        <v>-0.1770253767043473</v>
      </c>
      <c r="J43" s="22">
        <v>28507.7365378</v>
      </c>
      <c r="K43" s="37">
        <v>34250.285661885</v>
      </c>
      <c r="L43" s="22">
        <v>-5742.549124084999</v>
      </c>
      <c r="M43" s="69">
        <v>-0.1676642694538318</v>
      </c>
      <c r="N43" s="70">
        <v>1139753.9013990988</v>
      </c>
      <c r="O43" s="37">
        <v>1371193.7368308613</v>
      </c>
      <c r="P43" s="22">
        <v>-231439.8354317625</v>
      </c>
      <c r="Q43" s="69">
        <v>-0.16878711535444457</v>
      </c>
    </row>
    <row r="44" ht="22.5" customHeight="1">
      <c r="A44" s="66">
        <v>45770.0</v>
      </c>
      <c r="B44" s="68">
        <v>210747.16999999998</v>
      </c>
      <c r="C44" s="68">
        <v>246544.43999999997</v>
      </c>
      <c r="D44" s="68">
        <v>-35797.26999999999</v>
      </c>
      <c r="E44" s="69">
        <v>-0.1451960141546895</v>
      </c>
      <c r="F44" s="70">
        <v>956714.4495449255</v>
      </c>
      <c r="G44" s="37">
        <v>1124649.2968308614</v>
      </c>
      <c r="H44" s="22">
        <v>-167934.8472859359</v>
      </c>
      <c r="I44" s="69">
        <v>-0.1493219688654569</v>
      </c>
      <c r="J44" s="22">
        <v>29364.006091100007</v>
      </c>
      <c r="K44" s="37">
        <v>34250.285661885</v>
      </c>
      <c r="L44" s="22">
        <v>-4886.279570784991</v>
      </c>
      <c r="M44" s="69">
        <v>-0.14266390706990878</v>
      </c>
      <c r="N44" s="70">
        <v>1167461.6195449254</v>
      </c>
      <c r="O44" s="37">
        <v>1371193.7368308613</v>
      </c>
      <c r="P44" s="22">
        <v>-203732.1172859359</v>
      </c>
      <c r="Q44" s="69">
        <v>-0.14858011075576152</v>
      </c>
    </row>
    <row r="45" ht="22.5" customHeight="1">
      <c r="A45" s="66">
        <v>45771.0</v>
      </c>
      <c r="B45" s="68">
        <v>219580.43</v>
      </c>
      <c r="C45" s="68">
        <v>246544.43999999997</v>
      </c>
      <c r="D45" s="68">
        <v>-26964.00999999998</v>
      </c>
      <c r="E45" s="69">
        <v>-0.10936774725075926</v>
      </c>
      <c r="F45" s="70">
        <v>971984.438115583</v>
      </c>
      <c r="G45" s="37">
        <v>1115210.5228511547</v>
      </c>
      <c r="H45" s="22">
        <v>-143226.08473557164</v>
      </c>
      <c r="I45" s="69">
        <v>-0.12842963888952452</v>
      </c>
      <c r="J45" s="22">
        <v>29861.3739744</v>
      </c>
      <c r="K45" s="37">
        <v>33962.735661884995</v>
      </c>
      <c r="L45" s="22">
        <v>-4101.361687484994</v>
      </c>
      <c r="M45" s="69">
        <v>-0.12076063978814836</v>
      </c>
      <c r="N45" s="70">
        <v>1191564.868115583</v>
      </c>
      <c r="O45" s="37">
        <v>1361754.9628511546</v>
      </c>
      <c r="P45" s="22">
        <v>-170190.09473557165</v>
      </c>
      <c r="Q45" s="69">
        <v>-0.12497850155011635</v>
      </c>
    </row>
    <row r="46" ht="22.5" customHeight="1">
      <c r="A46" s="66">
        <v>45772.0</v>
      </c>
      <c r="B46" s="68">
        <v>218352.36</v>
      </c>
      <c r="C46" s="68">
        <v>246544.43999999997</v>
      </c>
      <c r="D46" s="68">
        <v>-28192.079999999987</v>
      </c>
      <c r="E46" s="69">
        <v>-0.11434887763033712</v>
      </c>
      <c r="F46" s="70">
        <v>994428.058850209</v>
      </c>
      <c r="G46" s="37">
        <v>1115210.5228511547</v>
      </c>
      <c r="H46" s="22">
        <v>-120782.46400094568</v>
      </c>
      <c r="I46" s="69">
        <v>-0.10830463085315266</v>
      </c>
      <c r="J46" s="22">
        <v>30632.6701569</v>
      </c>
      <c r="K46" s="37">
        <v>33962.735661884995</v>
      </c>
      <c r="L46" s="22">
        <v>-3330.0655049849956</v>
      </c>
      <c r="M46" s="69">
        <v>-0.098050567484827</v>
      </c>
      <c r="N46" s="70">
        <v>1212780.418850209</v>
      </c>
      <c r="O46" s="37">
        <v>1361754.9628511546</v>
      </c>
      <c r="P46" s="22">
        <v>-148974.54400094552</v>
      </c>
      <c r="Q46" s="69">
        <v>-0.10939893597966571</v>
      </c>
    </row>
    <row r="47" ht="22.5" customHeight="1">
      <c r="A47" s="66">
        <v>45773.0</v>
      </c>
      <c r="B47" s="68">
        <v>223550.22</v>
      </c>
      <c r="C47" s="68">
        <v>246544.43999999997</v>
      </c>
      <c r="D47" s="68">
        <v>-22994.219999999972</v>
      </c>
      <c r="E47" s="69">
        <v>-0.09326602538674153</v>
      </c>
      <c r="F47" s="70">
        <v>1029871.4358602097</v>
      </c>
      <c r="G47" s="37">
        <v>1115210.5228511547</v>
      </c>
      <c r="H47" s="22">
        <v>-85339.08699094492</v>
      </c>
      <c r="I47" s="69">
        <v>-0.07652284949102385</v>
      </c>
      <c r="J47" s="22">
        <v>31639.189439799997</v>
      </c>
      <c r="K47" s="37">
        <v>33962.735661884995</v>
      </c>
      <c r="L47" s="22">
        <v>-2323.5462220849986</v>
      </c>
      <c r="M47" s="69">
        <v>-0.06841457782485469</v>
      </c>
      <c r="N47" s="70">
        <v>1253421.6558602098</v>
      </c>
      <c r="O47" s="37">
        <v>1361754.9628511546</v>
      </c>
      <c r="P47" s="22">
        <v>-108333.30699094478</v>
      </c>
      <c r="Q47" s="69">
        <v>-0.07955418555194652</v>
      </c>
    </row>
    <row r="48" ht="22.5" customHeight="1">
      <c r="A48" s="66">
        <v>45776.0</v>
      </c>
      <c r="B48" s="68">
        <v>225289.37</v>
      </c>
      <c r="C48" s="68">
        <v>246544.43999999997</v>
      </c>
      <c r="D48" s="68">
        <v>-21255.069999999978</v>
      </c>
      <c r="E48" s="69">
        <v>-0.08621192187501767</v>
      </c>
      <c r="F48" s="70">
        <v>1027991.355590561</v>
      </c>
      <c r="G48" s="37">
        <v>1115210.5228511547</v>
      </c>
      <c r="H48" s="22">
        <v>-87219.16726059362</v>
      </c>
      <c r="I48" s="69">
        <v>-0.0782087018311202</v>
      </c>
      <c r="J48" s="22">
        <v>31683.6393443</v>
      </c>
      <c r="K48" s="37">
        <v>33962.735661884995</v>
      </c>
      <c r="L48" s="22">
        <v>-2279.096317584994</v>
      </c>
      <c r="M48" s="69">
        <v>-0.06710579325159402</v>
      </c>
      <c r="N48" s="70">
        <v>1253280.725590561</v>
      </c>
      <c r="O48" s="37">
        <v>1361754.9628511546</v>
      </c>
      <c r="P48" s="22">
        <v>-108474.23726059357</v>
      </c>
      <c r="Q48" s="69">
        <v>-0.07965767720315645</v>
      </c>
    </row>
    <row r="49" ht="22.5" customHeight="1">
      <c r="A49" s="66">
        <v>45777.0</v>
      </c>
      <c r="B49" s="68">
        <v>226137.57</v>
      </c>
      <c r="C49" s="68">
        <v>246544.43999999997</v>
      </c>
      <c r="D49" s="68">
        <v>-20406.869999999966</v>
      </c>
      <c r="E49" s="69">
        <v>-0.08277156848477284</v>
      </c>
      <c r="F49" s="70">
        <v>1034272.8958102036</v>
      </c>
      <c r="G49" s="37">
        <v>1115210.5228511547</v>
      </c>
      <c r="H49" s="22">
        <v>-80937.62704095105</v>
      </c>
      <c r="I49" s="69">
        <v>-0.0725760969633118</v>
      </c>
      <c r="J49" s="22">
        <v>31984.40314560001</v>
      </c>
      <c r="K49" s="37">
        <v>33962.735661884995</v>
      </c>
      <c r="L49" s="22">
        <v>-1978.332516284987</v>
      </c>
      <c r="M49" s="69">
        <v>-0.05825009316034543</v>
      </c>
      <c r="N49" s="70">
        <v>1260410.4658102037</v>
      </c>
      <c r="O49" s="37">
        <v>1361754.9628511546</v>
      </c>
      <c r="P49" s="22">
        <v>-101344.49704095093</v>
      </c>
      <c r="Q49" s="69">
        <v>-0.07442197737892753</v>
      </c>
    </row>
    <row r="50" ht="22.5" customHeight="1">
      <c r="A50" s="66">
        <v>45778.0</v>
      </c>
      <c r="B50" s="68">
        <v>226969.58000000002</v>
      </c>
      <c r="C50" s="68">
        <v>246544.43999999997</v>
      </c>
      <c r="D50" s="68">
        <v>-19574.859999999957</v>
      </c>
      <c r="E50" s="69">
        <v>-0.07939688276888321</v>
      </c>
      <c r="F50" s="70">
        <v>1014470.1859309494</v>
      </c>
      <c r="G50" s="37">
        <v>1115210.5228511547</v>
      </c>
      <c r="H50" s="22">
        <v>-100740.33692020527</v>
      </c>
      <c r="I50" s="69">
        <v>-0.09033302220163046</v>
      </c>
      <c r="J50" s="22">
        <v>31633.982535499996</v>
      </c>
      <c r="K50" s="37">
        <v>33962.735661884995</v>
      </c>
      <c r="L50" s="22">
        <v>-2328.7531263849996</v>
      </c>
      <c r="M50" s="69">
        <v>-0.06856789010075137</v>
      </c>
      <c r="N50" s="70">
        <v>1241439.7659309495</v>
      </c>
      <c r="O50" s="37">
        <v>1361754.9628511546</v>
      </c>
      <c r="P50" s="22">
        <v>-120315.19692020514</v>
      </c>
      <c r="Q50" s="69">
        <v>-0.08835304456559273</v>
      </c>
    </row>
    <row r="51" ht="22.5" customHeight="1">
      <c r="A51" s="66">
        <v>45779.0</v>
      </c>
      <c r="B51" s="68">
        <v>226969.58000000002</v>
      </c>
      <c r="C51" s="68">
        <v>246544.43999999997</v>
      </c>
      <c r="D51" s="68">
        <v>-19574.859999999957</v>
      </c>
      <c r="E51" s="69">
        <v>-0.07939688276888321</v>
      </c>
      <c r="F51" s="70">
        <v>977800.246847378</v>
      </c>
      <c r="G51" s="37">
        <v>1076442.7815583968</v>
      </c>
      <c r="H51" s="22">
        <v>-98642.53471101879</v>
      </c>
      <c r="I51" s="69">
        <v>-0.09163750865439517</v>
      </c>
      <c r="J51" s="22">
        <v>30435.284306800004</v>
      </c>
      <c r="K51" s="37">
        <v>32781.68566188499</v>
      </c>
      <c r="L51" s="22">
        <v>-2346.4013550849886</v>
      </c>
      <c r="M51" s="69">
        <v>-0.07157659246953035</v>
      </c>
      <c r="N51" s="70">
        <v>1204769.826847378</v>
      </c>
      <c r="O51" s="37">
        <v>1322987.2215583967</v>
      </c>
      <c r="P51" s="22">
        <v>-118217.39471101877</v>
      </c>
      <c r="Q51" s="69">
        <v>-0.08935641462338996</v>
      </c>
    </row>
    <row r="52" ht="22.5" customHeight="1">
      <c r="A52" s="66">
        <v>45782.0</v>
      </c>
      <c r="B52" s="68">
        <v>232892.74</v>
      </c>
      <c r="C52" s="68">
        <v>246544.43999999997</v>
      </c>
      <c r="D52" s="68">
        <v>-13651.699999999983</v>
      </c>
      <c r="E52" s="69">
        <v>-0.05537216738694243</v>
      </c>
      <c r="F52" s="70">
        <v>919524.6506856999</v>
      </c>
      <c r="G52" s="37">
        <v>1054870.333149159</v>
      </c>
      <c r="H52" s="22">
        <v>-135345.6824634592</v>
      </c>
      <c r="I52" s="69">
        <v>-0.128305516052769</v>
      </c>
      <c r="J52" s="22">
        <v>29964.143403199992</v>
      </c>
      <c r="K52" s="37">
        <v>32124.486161884997</v>
      </c>
      <c r="L52" s="22">
        <v>-2160.342758685005</v>
      </c>
      <c r="M52" s="69">
        <v>-0.06724909926335894</v>
      </c>
      <c r="N52" s="70">
        <v>1152417.3906856999</v>
      </c>
      <c r="O52" s="37">
        <v>1301414.773149159</v>
      </c>
      <c r="P52" s="22">
        <v>-148997.38246345916</v>
      </c>
      <c r="Q52" s="69">
        <v>-0.11448877447649976</v>
      </c>
    </row>
    <row r="53" ht="22.5" customHeight="1">
      <c r="A53" s="66">
        <v>45783.0</v>
      </c>
      <c r="B53" s="68">
        <v>230346.21999999997</v>
      </c>
      <c r="C53" s="68">
        <v>246504.43999999997</v>
      </c>
      <c r="D53" s="68">
        <v>-16158.220000000001</v>
      </c>
      <c r="E53" s="69">
        <v>-0.06554940754819671</v>
      </c>
      <c r="F53" s="70">
        <v>870034.319592521</v>
      </c>
      <c r="G53" s="37">
        <v>1054870.333149159</v>
      </c>
      <c r="H53" s="22">
        <v>-184836.01355663815</v>
      </c>
      <c r="I53" s="69">
        <v>-0.17522154879911886</v>
      </c>
      <c r="J53" s="22">
        <v>29797.940926799994</v>
      </c>
      <c r="K53" s="37">
        <v>32124.486161884997</v>
      </c>
      <c r="L53" s="22">
        <v>-2326.545235085003</v>
      </c>
      <c r="M53" s="69">
        <v>-0.07242279995891103</v>
      </c>
      <c r="N53" s="70">
        <v>1100380.5395925208</v>
      </c>
      <c r="O53" s="37">
        <v>1301374.773149159</v>
      </c>
      <c r="P53" s="22">
        <v>-200994.23355663824</v>
      </c>
      <c r="Q53" s="69">
        <v>-0.15444761778365976</v>
      </c>
    </row>
    <row r="54" ht="22.5" customHeight="1">
      <c r="A54" s="66">
        <v>45784.0</v>
      </c>
      <c r="B54" s="68">
        <v>229442.72</v>
      </c>
      <c r="C54" s="68">
        <v>246504.43999999997</v>
      </c>
      <c r="D54" s="68">
        <v>-17061.719999999972</v>
      </c>
      <c r="E54" s="69">
        <v>-0.06921465593074094</v>
      </c>
      <c r="F54" s="70">
        <v>917197.9400828828</v>
      </c>
      <c r="G54" s="37">
        <v>1091555.3402773808</v>
      </c>
      <c r="H54" s="22">
        <v>-174357.400194498</v>
      </c>
      <c r="I54" s="69">
        <v>-0.15973299177867717</v>
      </c>
      <c r="J54" s="22">
        <v>30562.8788938</v>
      </c>
      <c r="K54" s="37">
        <v>33242.086161884996</v>
      </c>
      <c r="L54" s="22">
        <v>-2679.207268084996</v>
      </c>
      <c r="M54" s="69">
        <v>-0.08059684506674991</v>
      </c>
      <c r="N54" s="70">
        <v>1146640.6600828827</v>
      </c>
      <c r="O54" s="37">
        <v>1338059.7802773807</v>
      </c>
      <c r="P54" s="22">
        <v>-191419.12019449798</v>
      </c>
      <c r="Q54" s="69">
        <v>-0.14305722585489916</v>
      </c>
    </row>
    <row r="55" ht="22.5" customHeight="1">
      <c r="A55" s="66">
        <v>45785.0</v>
      </c>
      <c r="B55" s="68">
        <v>228776.2</v>
      </c>
      <c r="C55" s="68">
        <v>246504.43999999997</v>
      </c>
      <c r="D55" s="68">
        <v>-17728.23999999996</v>
      </c>
      <c r="E55" s="69">
        <v>-0.07191854231915645</v>
      </c>
      <c r="F55" s="70">
        <v>930872.3316105013</v>
      </c>
      <c r="G55" s="37">
        <v>1091555.340277381</v>
      </c>
      <c r="H55" s="22">
        <v>-160683.00866687973</v>
      </c>
      <c r="I55" s="69">
        <v>-0.1472055540730053</v>
      </c>
      <c r="J55" s="22">
        <v>30615.171520800002</v>
      </c>
      <c r="K55" s="37">
        <v>33242.086161884996</v>
      </c>
      <c r="L55" s="22">
        <v>-2626.9146410849935</v>
      </c>
      <c r="M55" s="69">
        <v>-0.07902376007005794</v>
      </c>
      <c r="N55" s="70">
        <v>1159648.5316105012</v>
      </c>
      <c r="O55" s="37">
        <v>1338059.780277381</v>
      </c>
      <c r="P55" s="22">
        <v>-178411.24866687972</v>
      </c>
      <c r="Q55" s="69">
        <v>-0.1333357831216591</v>
      </c>
    </row>
    <row r="56" ht="22.5" customHeight="1">
      <c r="A56" s="66">
        <v>45786.0</v>
      </c>
      <c r="B56" s="68">
        <v>231596.41</v>
      </c>
      <c r="C56" s="68">
        <v>246504.43999999997</v>
      </c>
      <c r="D56" s="68">
        <v>-14908.02999999997</v>
      </c>
      <c r="E56" s="69">
        <v>-0.06047773419415882</v>
      </c>
      <c r="F56" s="70">
        <v>940376.0331748179</v>
      </c>
      <c r="G56" s="37">
        <v>1091555.340277381</v>
      </c>
      <c r="H56" s="22">
        <v>-151179.3071025631</v>
      </c>
      <c r="I56" s="69">
        <v>-0.13849898536902958</v>
      </c>
      <c r="J56" s="22">
        <v>31052.114766799998</v>
      </c>
      <c r="K56" s="37">
        <v>33242.086161884996</v>
      </c>
      <c r="L56" s="22">
        <v>-2189.971395084998</v>
      </c>
      <c r="M56" s="69">
        <v>-0.06587948134241932</v>
      </c>
      <c r="N56" s="70">
        <v>1171972.4431748178</v>
      </c>
      <c r="O56" s="37">
        <v>1338059.780277381</v>
      </c>
      <c r="P56" s="22">
        <v>-166087.33710256312</v>
      </c>
      <c r="Q56" s="69">
        <v>-0.12412549839001444</v>
      </c>
    </row>
    <row r="57" ht="22.5" customHeight="1">
      <c r="A57" s="66">
        <v>45787.0</v>
      </c>
      <c r="B57" s="68">
        <v>234188.33000000002</v>
      </c>
      <c r="C57" s="68">
        <v>246504.43999999997</v>
      </c>
      <c r="D57" s="68">
        <v>-12316.109999999957</v>
      </c>
      <c r="E57" s="69">
        <v>-0.049963035148575655</v>
      </c>
      <c r="F57" s="70">
        <v>978247.8789893682</v>
      </c>
      <c r="G57" s="37">
        <v>1128975.5903142146</v>
      </c>
      <c r="H57" s="22">
        <v>-150727.71132484637</v>
      </c>
      <c r="I57" s="69">
        <v>-0.13350838815115224</v>
      </c>
      <c r="J57" s="22">
        <v>32401.976207500004</v>
      </c>
      <c r="K57" s="37">
        <v>34382.085161885</v>
      </c>
      <c r="L57" s="22">
        <v>-1980.1089543849957</v>
      </c>
      <c r="M57" s="69">
        <v>-0.05759129922056293</v>
      </c>
      <c r="N57" s="70">
        <v>1212436.2089893683</v>
      </c>
      <c r="O57" s="37">
        <v>1375480.0303142145</v>
      </c>
      <c r="P57" s="22">
        <v>-163043.82132484624</v>
      </c>
      <c r="Q57" s="69">
        <v>-0.1185359421667507</v>
      </c>
    </row>
    <row r="58" ht="22.5" customHeight="1">
      <c r="A58" s="66">
        <v>45790.0</v>
      </c>
      <c r="B58" s="68">
        <v>240143.81999999998</v>
      </c>
      <c r="C58" s="68">
        <v>246504.43999999997</v>
      </c>
      <c r="D58" s="68">
        <v>-6360.619999999995</v>
      </c>
      <c r="E58" s="69">
        <v>-0.025803267478670955</v>
      </c>
      <c r="F58" s="70">
        <v>1024199.8577421774</v>
      </c>
      <c r="G58" s="37">
        <v>1128975.590314215</v>
      </c>
      <c r="H58" s="22">
        <v>-104775.73257203761</v>
      </c>
      <c r="I58" s="69">
        <v>-0.09280602120270516</v>
      </c>
      <c r="J58" s="22">
        <v>33650.935002700004</v>
      </c>
      <c r="K58" s="37">
        <v>34382.08516188499</v>
      </c>
      <c r="L58" s="22">
        <v>-731.1501591849883</v>
      </c>
      <c r="M58" s="69">
        <v>-0.0212654397120603</v>
      </c>
      <c r="N58" s="70">
        <v>1264343.6777421774</v>
      </c>
      <c r="O58" s="37">
        <v>1375480.030314215</v>
      </c>
      <c r="P58" s="22">
        <v>-111136.3525720376</v>
      </c>
      <c r="Q58" s="69">
        <v>-0.08079823052512772</v>
      </c>
    </row>
    <row r="59" ht="22.5" customHeight="1">
      <c r="A59" s="66">
        <v>45791.0</v>
      </c>
      <c r="B59" s="68">
        <v>239710.28000000003</v>
      </c>
      <c r="C59" s="68">
        <v>246504.43999999997</v>
      </c>
      <c r="D59" s="68">
        <v>-6794.159999999945</v>
      </c>
      <c r="E59" s="69">
        <v>-0.027562018761203434</v>
      </c>
      <c r="F59" s="70">
        <v>1061900.3491281904</v>
      </c>
      <c r="G59" s="37">
        <v>1142204.152677949</v>
      </c>
      <c r="H59" s="22">
        <v>-80303.80354975862</v>
      </c>
      <c r="I59" s="69">
        <v>-0.07030599859183032</v>
      </c>
      <c r="J59" s="22">
        <v>34907.96676950001</v>
      </c>
      <c r="K59" s="37">
        <v>34785.090161885</v>
      </c>
      <c r="L59" s="22">
        <v>122.8766076150132</v>
      </c>
      <c r="M59" s="69">
        <v>0.0035324504563064942</v>
      </c>
      <c r="N59" s="70">
        <v>1301610.6291281905</v>
      </c>
      <c r="O59" s="37">
        <v>1388708.592677949</v>
      </c>
      <c r="P59" s="22">
        <v>-87097.96354975854</v>
      </c>
      <c r="Q59" s="69">
        <v>-0.06271867547229698</v>
      </c>
    </row>
    <row r="60" ht="22.5" customHeight="1">
      <c r="A60" s="66">
        <v>45792.0</v>
      </c>
      <c r="B60" s="68">
        <v>244339.39</v>
      </c>
      <c r="C60" s="68">
        <v>246504.43999999997</v>
      </c>
      <c r="D60" s="68">
        <v>-2165.0499999999593</v>
      </c>
      <c r="E60" s="69">
        <v>-0.008783006099200321</v>
      </c>
      <c r="F60" s="70">
        <v>1075096.0921534786</v>
      </c>
      <c r="G60" s="37">
        <v>1141229.590314215</v>
      </c>
      <c r="H60" s="22">
        <v>-66133.4981607364</v>
      </c>
      <c r="I60" s="69">
        <v>-0.057949337032636744</v>
      </c>
      <c r="J60" s="22">
        <v>35613.0095699</v>
      </c>
      <c r="K60" s="37">
        <v>34785.090161885</v>
      </c>
      <c r="L60" s="22">
        <v>827.9194080150046</v>
      </c>
      <c r="M60" s="69">
        <v>0.023800984966891914</v>
      </c>
      <c r="N60" s="70">
        <v>1319435.4821534785</v>
      </c>
      <c r="O60" s="37">
        <v>1387734.030314215</v>
      </c>
      <c r="P60" s="22">
        <v>-68298.54816073645</v>
      </c>
      <c r="Q60" s="69">
        <v>-0.04921587758806497</v>
      </c>
    </row>
    <row r="61" ht="22.5" customHeight="1">
      <c r="A61" s="66">
        <v>45793.0</v>
      </c>
      <c r="B61" s="68">
        <v>244339.39</v>
      </c>
      <c r="C61" s="68">
        <v>246504.43999999997</v>
      </c>
      <c r="D61" s="68">
        <v>-2165.0499999999593</v>
      </c>
      <c r="E61" s="69">
        <v>-0.008783006099200321</v>
      </c>
      <c r="F61" s="70">
        <v>1064651.6137508666</v>
      </c>
      <c r="G61" s="37">
        <v>1141229.590314215</v>
      </c>
      <c r="H61" s="22">
        <v>-76577.97656334843</v>
      </c>
      <c r="I61" s="69">
        <v>-0.06710128900729274</v>
      </c>
      <c r="J61" s="22">
        <v>35274.38916410001</v>
      </c>
      <c r="K61" s="37">
        <v>34785.090161885</v>
      </c>
      <c r="L61" s="22">
        <v>489.29900221501157</v>
      </c>
      <c r="M61" s="69">
        <v>0.014066342790485282</v>
      </c>
      <c r="N61" s="70">
        <v>1308991.0037508667</v>
      </c>
      <c r="O61" s="37">
        <v>1387734.030314215</v>
      </c>
      <c r="P61" s="22">
        <v>-78743.02656334825</v>
      </c>
      <c r="Q61" s="69">
        <v>-0.056742160128132775</v>
      </c>
    </row>
    <row r="62" ht="22.5" customHeight="1">
      <c r="A62" s="66">
        <v>45794.0</v>
      </c>
      <c r="B62" s="68">
        <v>244954.08000000002</v>
      </c>
      <c r="C62" s="68">
        <v>246504.43999999997</v>
      </c>
      <c r="D62" s="68">
        <v>-1550.359999999957</v>
      </c>
      <c r="E62" s="69">
        <v>-0.006289379615231097</v>
      </c>
      <c r="F62" s="70">
        <v>1076634.427524777</v>
      </c>
      <c r="G62" s="37">
        <v>1141229.590314215</v>
      </c>
      <c r="H62" s="22">
        <v>-64595.16278943815</v>
      </c>
      <c r="I62" s="69">
        <v>-0.056601373937082325</v>
      </c>
      <c r="J62" s="22">
        <v>35634.2309669</v>
      </c>
      <c r="K62" s="37">
        <v>34785.090161885</v>
      </c>
      <c r="L62" s="22">
        <v>849.1408050150058</v>
      </c>
      <c r="M62" s="69">
        <v>0.02441105660681694</v>
      </c>
      <c r="N62" s="70">
        <v>1321588.507524777</v>
      </c>
      <c r="O62" s="37">
        <v>1387734.030314215</v>
      </c>
      <c r="P62" s="22">
        <v>-66145.52278943802</v>
      </c>
      <c r="Q62" s="69">
        <v>-0.04766440927766335</v>
      </c>
    </row>
    <row r="63" ht="22.5" customHeight="1">
      <c r="A63" s="66">
        <v>45797.0</v>
      </c>
      <c r="B63" s="68">
        <v>241265.93</v>
      </c>
      <c r="C63" s="68">
        <v>246504.43999999997</v>
      </c>
      <c r="D63" s="68">
        <v>-5238.50999999998</v>
      </c>
      <c r="E63" s="69">
        <v>-0.02125117908626709</v>
      </c>
      <c r="F63" s="70">
        <v>1067529.376890055</v>
      </c>
      <c r="G63" s="37">
        <v>1141229.590314215</v>
      </c>
      <c r="H63" s="22">
        <v>-73700.21342416015</v>
      </c>
      <c r="I63" s="69">
        <v>-0.0645796551803991</v>
      </c>
      <c r="J63" s="22">
        <v>35375.71377080001</v>
      </c>
      <c r="K63" s="37">
        <v>34785.090161885</v>
      </c>
      <c r="L63" s="22">
        <v>590.6236089150116</v>
      </c>
      <c r="M63" s="69">
        <v>0.01697921742235915</v>
      </c>
      <c r="N63" s="70">
        <v>1308795.3068900548</v>
      </c>
      <c r="O63" s="37">
        <v>1387734.030314215</v>
      </c>
      <c r="P63" s="22">
        <v>-78938.72342416015</v>
      </c>
      <c r="Q63" s="69">
        <v>-0.05688317912495567</v>
      </c>
    </row>
    <row r="64" ht="22.5" customHeight="1">
      <c r="A64" s="66">
        <v>45798.0</v>
      </c>
      <c r="B64" s="68">
        <v>241769.64</v>
      </c>
      <c r="C64" s="68">
        <v>246504.43999999997</v>
      </c>
      <c r="D64" s="68">
        <v>-4734.799999999959</v>
      </c>
      <c r="E64" s="69">
        <v>-0.019207767616680495</v>
      </c>
      <c r="F64" s="70">
        <v>1063362.0385201988</v>
      </c>
      <c r="G64" s="37">
        <v>1141229.590314215</v>
      </c>
      <c r="H64" s="22">
        <v>-77867.55179401627</v>
      </c>
      <c r="I64" s="69">
        <v>-0.06823127655897616</v>
      </c>
      <c r="J64" s="22">
        <v>35267.7737309</v>
      </c>
      <c r="K64" s="37">
        <v>34785.090161885</v>
      </c>
      <c r="L64" s="22">
        <v>482.68356901500374</v>
      </c>
      <c r="M64" s="69">
        <v>0.01387616265384569</v>
      </c>
      <c r="N64" s="70">
        <v>1305131.678520199</v>
      </c>
      <c r="O64" s="37">
        <v>1387734.030314215</v>
      </c>
      <c r="P64" s="22">
        <v>-82602.35179401608</v>
      </c>
      <c r="Q64" s="69">
        <v>-0.05952318671273991</v>
      </c>
    </row>
    <row r="65" ht="22.5" customHeight="1">
      <c r="A65" s="66">
        <v>45799.0</v>
      </c>
      <c r="B65" s="68">
        <v>245160.37</v>
      </c>
      <c r="C65" s="68">
        <v>246504.43999999997</v>
      </c>
      <c r="D65" s="68">
        <v>-1344.0699999999779</v>
      </c>
      <c r="E65" s="69">
        <v>-0.0054525184211691195</v>
      </c>
      <c r="F65" s="70">
        <v>1034901.6383077629</v>
      </c>
      <c r="G65" s="37">
        <v>1141229.590314215</v>
      </c>
      <c r="H65" s="22">
        <v>-106327.95200645213</v>
      </c>
      <c r="I65" s="69">
        <v>-0.0931696416819834</v>
      </c>
      <c r="J65" s="22">
        <v>34476.380212599994</v>
      </c>
      <c r="K65" s="37">
        <v>34785.090161885</v>
      </c>
      <c r="L65" s="22">
        <v>-308.70994928500295</v>
      </c>
      <c r="M65" s="69">
        <v>-0.008874777896170732</v>
      </c>
      <c r="N65" s="70">
        <v>1280062.008307763</v>
      </c>
      <c r="O65" s="37">
        <v>1387734.030314215</v>
      </c>
      <c r="P65" s="22">
        <v>-107672.02200645208</v>
      </c>
      <c r="Q65" s="69">
        <v>-0.07758837043296593</v>
      </c>
    </row>
    <row r="66" ht="22.5" customHeight="1">
      <c r="A66" s="66">
        <v>45800.0</v>
      </c>
      <c r="B66" s="68">
        <v>242578.84</v>
      </c>
      <c r="C66" s="68">
        <v>246504.43999999997</v>
      </c>
      <c r="D66" s="68">
        <v>-3925.5999999999767</v>
      </c>
      <c r="E66" s="69">
        <v>-0.015925068124533485</v>
      </c>
      <c r="F66" s="70">
        <v>1046366.244410353</v>
      </c>
      <c r="G66" s="37">
        <v>1141229.590314215</v>
      </c>
      <c r="H66" s="22">
        <v>-94863.34590386203</v>
      </c>
      <c r="I66" s="69">
        <v>-0.08312380498103215</v>
      </c>
      <c r="J66" s="22">
        <v>34792.82057079999</v>
      </c>
      <c r="K66" s="37">
        <v>34785.090161885</v>
      </c>
      <c r="L66" s="22">
        <v>7.730408914991131</v>
      </c>
      <c r="M66" s="69">
        <v>2.222334016963842E-4</v>
      </c>
      <c r="N66" s="70">
        <v>1288945.084410353</v>
      </c>
      <c r="O66" s="37">
        <v>1387734.030314215</v>
      </c>
      <c r="P66" s="22">
        <v>-98788.9459038619</v>
      </c>
      <c r="Q66" s="69">
        <v>-0.07118723310510286</v>
      </c>
    </row>
    <row r="67" ht="22.5" customHeight="1">
      <c r="A67" s="66">
        <v>45801.0</v>
      </c>
      <c r="B67" s="68">
        <v>241636.55000000002</v>
      </c>
      <c r="C67" s="68">
        <v>246504.43999999997</v>
      </c>
      <c r="D67" s="68">
        <v>-4867.889999999956</v>
      </c>
      <c r="E67" s="69">
        <v>-0.019747676755842436</v>
      </c>
      <c r="F67" s="70">
        <v>1036026.2745552115</v>
      </c>
      <c r="G67" s="37">
        <v>1141229.590314215</v>
      </c>
      <c r="H67" s="22">
        <v>-105203.31575900351</v>
      </c>
      <c r="I67" s="69">
        <v>-0.09218418156335909</v>
      </c>
      <c r="J67" s="22">
        <v>34602.83811410001</v>
      </c>
      <c r="K67" s="37">
        <v>34785.090161885</v>
      </c>
      <c r="L67" s="22">
        <v>-182.252047784983</v>
      </c>
      <c r="M67" s="69">
        <v>-0.005239372585691375</v>
      </c>
      <c r="N67" s="70">
        <v>1277662.8245552115</v>
      </c>
      <c r="O67" s="37">
        <v>1387734.030314215</v>
      </c>
      <c r="P67" s="22">
        <v>-110071.20575900353</v>
      </c>
      <c r="Q67" s="69">
        <v>-0.07931722027028541</v>
      </c>
    </row>
    <row r="68" ht="22.5" customHeight="1">
      <c r="A68" s="66">
        <v>45804.0</v>
      </c>
      <c r="B68" s="68">
        <v>241297.7</v>
      </c>
      <c r="C68" s="68">
        <v>246504.43999999997</v>
      </c>
      <c r="D68" s="68">
        <v>-5206.739999999962</v>
      </c>
      <c r="E68" s="69">
        <v>-0.021122297026373894</v>
      </c>
      <c r="F68" s="70">
        <v>1035662.9447550136</v>
      </c>
      <c r="G68" s="37">
        <v>1141229.590314215</v>
      </c>
      <c r="H68" s="22">
        <v>-105566.64555920148</v>
      </c>
      <c r="I68" s="69">
        <v>-0.09250254852762431</v>
      </c>
      <c r="J68" s="22">
        <v>34602.83811410001</v>
      </c>
      <c r="K68" s="37">
        <v>34785.090161885</v>
      </c>
      <c r="L68" s="22">
        <v>-182.252047784983</v>
      </c>
      <c r="M68" s="69">
        <v>-0.005239372585691375</v>
      </c>
      <c r="N68" s="70">
        <v>1276960.6447550135</v>
      </c>
      <c r="O68" s="37">
        <v>1387734.030314215</v>
      </c>
      <c r="P68" s="22">
        <v>-110773.38555920147</v>
      </c>
      <c r="Q68" s="69">
        <v>-0.07982321045634358</v>
      </c>
    </row>
    <row r="69" ht="22.5" customHeight="1">
      <c r="A69" s="66">
        <v>45805.0</v>
      </c>
      <c r="B69" s="68">
        <v>239322.26</v>
      </c>
      <c r="C69" s="68">
        <v>246504.43999999997</v>
      </c>
      <c r="D69" s="68">
        <v>-7182.179999999964</v>
      </c>
      <c r="E69" s="69">
        <v>-0.029136108055497763</v>
      </c>
      <c r="F69" s="70">
        <v>1069693.4776534748</v>
      </c>
      <c r="G69" s="37">
        <v>1141229.590314215</v>
      </c>
      <c r="H69" s="22">
        <v>-71536.11266074027</v>
      </c>
      <c r="I69" s="69">
        <v>-0.06268336649161385</v>
      </c>
      <c r="J69" s="22">
        <v>35729.708974</v>
      </c>
      <c r="K69" s="37">
        <v>34785.090161885</v>
      </c>
      <c r="L69" s="22">
        <v>944.6188121150044</v>
      </c>
      <c r="M69" s="69">
        <v>0.027155853491219347</v>
      </c>
      <c r="N69" s="70">
        <v>1309015.7376534748</v>
      </c>
      <c r="O69" s="37">
        <v>1387734.030314215</v>
      </c>
      <c r="P69" s="22">
        <v>-78718.2926607402</v>
      </c>
      <c r="Q69" s="69">
        <v>-0.0567243368982719</v>
      </c>
    </row>
    <row r="70" ht="22.5" customHeight="1">
      <c r="A70" s="66">
        <v>45806.0</v>
      </c>
      <c r="B70" s="68">
        <v>239838.44</v>
      </c>
      <c r="C70" s="68">
        <v>246504.43999999997</v>
      </c>
      <c r="D70" s="68">
        <v>-6665.999999999971</v>
      </c>
      <c r="E70" s="69">
        <v>-0.027042109261804663</v>
      </c>
      <c r="F70" s="70">
        <v>1062256.9900814411</v>
      </c>
      <c r="G70" s="37">
        <v>1141229.590314215</v>
      </c>
      <c r="H70" s="22">
        <v>-78972.60023277393</v>
      </c>
      <c r="I70" s="69">
        <v>-0.06919957290191746</v>
      </c>
      <c r="J70" s="22">
        <v>35446.9672172</v>
      </c>
      <c r="K70" s="37">
        <v>34785.090161885</v>
      </c>
      <c r="L70" s="22">
        <v>661.8770553150025</v>
      </c>
      <c r="M70" s="69">
        <v>0.01902760786977174</v>
      </c>
      <c r="N70" s="70">
        <v>1302095.430081441</v>
      </c>
      <c r="O70" s="37">
        <v>1387734.030314215</v>
      </c>
      <c r="P70" s="22">
        <v>-85638.60023277393</v>
      </c>
      <c r="Q70" s="69">
        <v>-0.061711104838571534</v>
      </c>
    </row>
    <row r="71" ht="22.5" customHeight="1">
      <c r="A71" s="66">
        <v>45807.0</v>
      </c>
      <c r="B71" s="68">
        <v>240515.54</v>
      </c>
      <c r="C71" s="68">
        <v>246504.43999999997</v>
      </c>
      <c r="D71" s="68">
        <v>-5988.899999999965</v>
      </c>
      <c r="E71" s="69">
        <v>-0.024295302753978655</v>
      </c>
      <c r="F71" s="70">
        <v>1064695.447044438</v>
      </c>
      <c r="G71" s="37">
        <v>1141229.590314215</v>
      </c>
      <c r="H71" s="22">
        <v>-76534.14326977707</v>
      </c>
      <c r="I71" s="69">
        <v>-0.06706288017707716</v>
      </c>
      <c r="J71" s="22">
        <v>35660.67511210001</v>
      </c>
      <c r="K71" s="37">
        <v>34785.090161885</v>
      </c>
      <c r="L71" s="22">
        <v>875.5849502150159</v>
      </c>
      <c r="M71" s="69">
        <v>0.025171271545945825</v>
      </c>
      <c r="N71" s="70">
        <v>1305210.987044438</v>
      </c>
      <c r="O71" s="37">
        <v>1387734.030314215</v>
      </c>
      <c r="P71" s="22">
        <v>-82523.04326977697</v>
      </c>
      <c r="Q71" s="69">
        <v>-0.05946603705545208</v>
      </c>
    </row>
    <row r="72" ht="22.5" customHeight="1">
      <c r="A72" s="66">
        <v>45810.0</v>
      </c>
      <c r="B72" s="68">
        <v>240515.54</v>
      </c>
      <c r="C72" s="68">
        <v>246504.43999999997</v>
      </c>
      <c r="D72" s="68">
        <v>-5988.899999999965</v>
      </c>
      <c r="E72" s="69">
        <v>-0.024295302753978655</v>
      </c>
      <c r="F72" s="70">
        <v>1059129.787088517</v>
      </c>
      <c r="G72" s="37">
        <v>1141229.590314215</v>
      </c>
      <c r="H72" s="22">
        <v>-82099.80322569795</v>
      </c>
      <c r="I72" s="69">
        <v>-0.07193977786984422</v>
      </c>
      <c r="J72" s="22">
        <v>35424.29652049999</v>
      </c>
      <c r="K72" s="37">
        <v>34785.090161885</v>
      </c>
      <c r="L72" s="22">
        <v>639.2063586149961</v>
      </c>
      <c r="M72" s="69">
        <v>0.018375871835899178</v>
      </c>
      <c r="N72" s="70">
        <v>1299645.3270885171</v>
      </c>
      <c r="O72" s="37">
        <v>1387734.030314215</v>
      </c>
      <c r="P72" s="22">
        <v>-88088.70322569786</v>
      </c>
      <c r="Q72" s="69">
        <v>-0.06347664703859178</v>
      </c>
    </row>
    <row r="73" ht="22.5" customHeight="1">
      <c r="A73" s="66">
        <v>45811.0</v>
      </c>
      <c r="B73" s="68">
        <v>235391.95</v>
      </c>
      <c r="C73" s="68">
        <v>246504.43999999997</v>
      </c>
      <c r="D73" s="68">
        <v>-11112.489999999962</v>
      </c>
      <c r="E73" s="69">
        <v>-0.045080283340940885</v>
      </c>
      <c r="F73" s="70">
        <v>1073356.6529784007</v>
      </c>
      <c r="G73" s="37">
        <v>1141229.590314215</v>
      </c>
      <c r="H73" s="22">
        <v>-67872.93733581435</v>
      </c>
      <c r="I73" s="69">
        <v>-0.05947351690830841</v>
      </c>
      <c r="J73" s="22">
        <v>35809.60369679999</v>
      </c>
      <c r="K73" s="37">
        <v>35085.690161884995</v>
      </c>
      <c r="L73" s="22">
        <v>723.9135349149947</v>
      </c>
      <c r="M73" s="69">
        <v>0.020632728943762127</v>
      </c>
      <c r="N73" s="70">
        <v>1308748.6029784007</v>
      </c>
      <c r="O73" s="37">
        <v>1387734.030314215</v>
      </c>
      <c r="P73" s="22">
        <v>-78985.42733581434</v>
      </c>
      <c r="Q73" s="69">
        <v>-0.05691683392525167</v>
      </c>
    </row>
    <row r="74" ht="22.5" customHeight="1">
      <c r="A74" s="66">
        <v>45813.0</v>
      </c>
      <c r="B74" s="68">
        <v>242322.87000000002</v>
      </c>
      <c r="C74" s="68">
        <v>246504.43999999997</v>
      </c>
      <c r="D74" s="68">
        <v>-4181.569999999949</v>
      </c>
      <c r="E74" s="69">
        <v>-0.016963467270609607</v>
      </c>
      <c r="F74" s="70">
        <v>1071255.0280180846</v>
      </c>
      <c r="G74" s="37">
        <v>1141229.590314215</v>
      </c>
      <c r="H74" s="22">
        <v>-69974.56229613046</v>
      </c>
      <c r="I74" s="69">
        <v>-0.0613150613075712</v>
      </c>
      <c r="J74" s="22">
        <v>35797.76504760001</v>
      </c>
      <c r="K74" s="37">
        <v>35085.690161884995</v>
      </c>
      <c r="L74" s="22">
        <v>712.0748857150174</v>
      </c>
      <c r="M74" s="69">
        <v>0.02029530792837512</v>
      </c>
      <c r="N74" s="70">
        <v>1313577.8980180847</v>
      </c>
      <c r="O74" s="37">
        <v>1387734.030314215</v>
      </c>
      <c r="P74" s="22">
        <v>-74156.1322961303</v>
      </c>
      <c r="Q74" s="69">
        <v>-0.05343684789464998</v>
      </c>
    </row>
    <row r="75" ht="22.5" customHeight="1">
      <c r="A75" s="66">
        <v>45814.0</v>
      </c>
      <c r="B75" s="68">
        <v>242659.59</v>
      </c>
      <c r="C75" s="68">
        <v>246504.43999999997</v>
      </c>
      <c r="D75" s="68">
        <v>-3844.8499999999767</v>
      </c>
      <c r="E75" s="69">
        <v>-0.015597487818069229</v>
      </c>
      <c r="F75" s="70">
        <v>1006866.7013932526</v>
      </c>
      <c r="G75" s="37">
        <v>1148217.9922626747</v>
      </c>
      <c r="H75" s="22">
        <v>-141351.29086942214</v>
      </c>
      <c r="I75" s="69">
        <v>-0.12310492591295816</v>
      </c>
      <c r="J75" s="22">
        <v>33624.76544349999</v>
      </c>
      <c r="K75" s="37">
        <v>34997.990161885</v>
      </c>
      <c r="L75" s="22">
        <v>-1373.224718385005</v>
      </c>
      <c r="M75" s="69">
        <v>-0.03923724511130735</v>
      </c>
      <c r="N75" s="70">
        <v>1249526.2913932526</v>
      </c>
      <c r="O75" s="37">
        <v>1394722.4322626747</v>
      </c>
      <c r="P75" s="22">
        <v>-145196.14086942212</v>
      </c>
      <c r="Q75" s="69">
        <v>-0.10410396901257887</v>
      </c>
    </row>
    <row r="76" ht="22.5" customHeight="1">
      <c r="A76" s="66">
        <v>45817.0</v>
      </c>
      <c r="B76" s="68">
        <v>243030.63999999998</v>
      </c>
      <c r="C76" s="68">
        <v>246504.43999999997</v>
      </c>
      <c r="D76" s="68">
        <v>-3473.7999999999884</v>
      </c>
      <c r="E76" s="69">
        <v>-0.014092241097158285</v>
      </c>
      <c r="F76" s="70">
        <v>1029974.7169776999</v>
      </c>
      <c r="G76" s="37">
        <v>1148217.9922626747</v>
      </c>
      <c r="H76" s="22">
        <v>-118243.27528497484</v>
      </c>
      <c r="I76" s="69">
        <v>-0.10297981400898014</v>
      </c>
      <c r="J76" s="22">
        <v>34406.119662000005</v>
      </c>
      <c r="K76" s="37">
        <v>34997.990161885</v>
      </c>
      <c r="L76" s="22">
        <v>-591.8704998849935</v>
      </c>
      <c r="M76" s="69">
        <v>-0.016911556839328948</v>
      </c>
      <c r="N76" s="70">
        <v>1273005.3569776998</v>
      </c>
      <c r="O76" s="37">
        <v>1394722.4322626747</v>
      </c>
      <c r="P76" s="22">
        <v>-121717.07528497488</v>
      </c>
      <c r="Q76" s="69">
        <v>-0.08726974806557877</v>
      </c>
    </row>
    <row r="77" ht="22.5" customHeight="1">
      <c r="A77" s="66">
        <v>45818.0</v>
      </c>
      <c r="B77" s="68">
        <v>245168.69</v>
      </c>
      <c r="C77" s="68">
        <v>246504.43999999997</v>
      </c>
      <c r="D77" s="68">
        <v>-1335.749999999971</v>
      </c>
      <c r="E77" s="69">
        <v>-0.005418766493617604</v>
      </c>
      <c r="F77" s="70">
        <v>1044081.2119247598</v>
      </c>
      <c r="G77" s="37">
        <v>1148217.9922626747</v>
      </c>
      <c r="H77" s="22">
        <v>-104136.78033791494</v>
      </c>
      <c r="I77" s="69">
        <v>-0.09069425931281858</v>
      </c>
      <c r="J77" s="22">
        <v>34887.8333776</v>
      </c>
      <c r="K77" s="37">
        <v>34997.990161885</v>
      </c>
      <c r="L77" s="22">
        <v>-110.15678428499814</v>
      </c>
      <c r="M77" s="69">
        <v>-0.0031475174367288604</v>
      </c>
      <c r="N77" s="70">
        <v>1289249.9019247598</v>
      </c>
      <c r="O77" s="37">
        <v>1394722.4322626747</v>
      </c>
      <c r="P77" s="22">
        <v>-105472.53033791482</v>
      </c>
      <c r="Q77" s="69">
        <v>-0.07562259550583517</v>
      </c>
    </row>
    <row r="78" ht="22.5" customHeight="1">
      <c r="A78" s="66">
        <v>45819.0</v>
      </c>
      <c r="B78" s="68">
        <v>251078.75</v>
      </c>
      <c r="C78" s="68">
        <v>246504.43999999997</v>
      </c>
      <c r="D78" s="68">
        <v>4574.310000000027</v>
      </c>
      <c r="E78" s="69">
        <v>0.018556704293034347</v>
      </c>
      <c r="F78" s="70">
        <v>1064239.5753219486</v>
      </c>
      <c r="G78" s="37">
        <v>1148217.9922626747</v>
      </c>
      <c r="H78" s="22">
        <v>-83978.4169407261</v>
      </c>
      <c r="I78" s="69">
        <v>-0.07313804304288814</v>
      </c>
      <c r="J78" s="22">
        <v>35599.26072169999</v>
      </c>
      <c r="K78" s="37">
        <v>34997.990161885</v>
      </c>
      <c r="L78" s="22">
        <v>601.2705598149914</v>
      </c>
      <c r="M78" s="69">
        <v>0.01718014540360128</v>
      </c>
      <c r="N78" s="70">
        <v>1315318.3253219486</v>
      </c>
      <c r="O78" s="37">
        <v>1394722.4322626747</v>
      </c>
      <c r="P78" s="22">
        <v>-79404.10694072605</v>
      </c>
      <c r="Q78" s="69">
        <v>-0.056931834681907156</v>
      </c>
    </row>
    <row r="79" ht="22.5" customHeight="1">
      <c r="A79" s="66">
        <v>45820.0</v>
      </c>
      <c r="B79" s="68">
        <v>251252.97999999998</v>
      </c>
      <c r="C79" s="68">
        <v>246504.43999999997</v>
      </c>
      <c r="D79" s="68">
        <v>4748.540000000008</v>
      </c>
      <c r="E79" s="69">
        <v>0.019263506977805385</v>
      </c>
      <c r="F79" s="70">
        <v>1059889.1889198532</v>
      </c>
      <c r="G79" s="37">
        <v>1148217.9922626747</v>
      </c>
      <c r="H79" s="22">
        <v>-88328.80334282154</v>
      </c>
      <c r="I79" s="69">
        <v>-0.07692685878293988</v>
      </c>
      <c r="J79" s="22">
        <v>35511.58727270001</v>
      </c>
      <c r="K79" s="37">
        <v>34997.990161885</v>
      </c>
      <c r="L79" s="22">
        <v>513.5971108150115</v>
      </c>
      <c r="M79" s="69">
        <v>0.014675045865186594</v>
      </c>
      <c r="N79" s="70">
        <v>1311142.1689198532</v>
      </c>
      <c r="O79" s="37">
        <v>1394722.4322626747</v>
      </c>
      <c r="P79" s="22">
        <v>-83580.2633428215</v>
      </c>
      <c r="Q79" s="69">
        <v>-0.05992609096221981</v>
      </c>
    </row>
    <row r="80" ht="22.5" customHeight="1">
      <c r="A80" s="66">
        <v>45821.0</v>
      </c>
      <c r="B80" s="68">
        <v>251156.52</v>
      </c>
      <c r="C80" s="68">
        <v>246504.43999999997</v>
      </c>
      <c r="D80" s="68">
        <v>4652.080000000016</v>
      </c>
      <c r="E80" s="69">
        <v>0.018872195567755358</v>
      </c>
      <c r="F80" s="70">
        <v>1041286.7616394074</v>
      </c>
      <c r="G80" s="37">
        <v>1148217.9922626747</v>
      </c>
      <c r="H80" s="22">
        <v>-106931.23062326736</v>
      </c>
      <c r="I80" s="69">
        <v>-0.09312798731933213</v>
      </c>
      <c r="J80" s="22">
        <v>35281.5965339</v>
      </c>
      <c r="K80" s="37">
        <v>34997.990161885</v>
      </c>
      <c r="L80" s="22">
        <v>283.60637201500504</v>
      </c>
      <c r="M80" s="69">
        <v>0.008103504535636739</v>
      </c>
      <c r="N80" s="70">
        <v>1292443.2816394074</v>
      </c>
      <c r="O80" s="37">
        <v>1394722.4322626747</v>
      </c>
      <c r="P80" s="22">
        <v>-102279.15062326728</v>
      </c>
      <c r="Q80" s="69">
        <v>-0.07333297884751062</v>
      </c>
    </row>
    <row r="81" ht="22.5" customHeight="1">
      <c r="A81" s="66">
        <v>45824.0</v>
      </c>
      <c r="B81" s="68">
        <v>250949.37</v>
      </c>
      <c r="C81" s="68">
        <v>246504.43999999997</v>
      </c>
      <c r="D81" s="68">
        <v>4444.930000000022</v>
      </c>
      <c r="E81" s="69">
        <v>0.01803184559272045</v>
      </c>
      <c r="F81" s="70">
        <v>1021428.0182865121</v>
      </c>
      <c r="G81" s="37">
        <v>1129340.4443032613</v>
      </c>
      <c r="H81" s="22">
        <v>-107912.42601674923</v>
      </c>
      <c r="I81" s="69">
        <v>-0.09555349457383955</v>
      </c>
      <c r="J81" s="22">
        <v>34593.02959910001</v>
      </c>
      <c r="K81" s="37">
        <v>34422.89016188499</v>
      </c>
      <c r="L81" s="22">
        <v>170.1394372150171</v>
      </c>
      <c r="M81" s="69">
        <v>0.004942624992116592</v>
      </c>
      <c r="N81" s="70">
        <v>1272377.388286512</v>
      </c>
      <c r="O81" s="37">
        <v>1375844.8843032613</v>
      </c>
      <c r="P81" s="22">
        <v>-103467.49601674918</v>
      </c>
      <c r="Q81" s="69">
        <v>-0.07520287875267707</v>
      </c>
    </row>
    <row r="82" ht="22.5" customHeight="1">
      <c r="A82" s="66">
        <v>45825.0</v>
      </c>
      <c r="B82" s="68">
        <v>251033.68</v>
      </c>
      <c r="C82" s="68">
        <v>246504.43999999997</v>
      </c>
      <c r="D82" s="68">
        <v>4529.24000000002</v>
      </c>
      <c r="E82" s="69">
        <v>0.018373867829723556</v>
      </c>
      <c r="F82" s="70">
        <v>1022784.5310429123</v>
      </c>
      <c r="G82" s="37">
        <v>1129340.4443032613</v>
      </c>
      <c r="H82" s="22">
        <v>-106555.91326034907</v>
      </c>
      <c r="I82" s="69">
        <v>-0.0943523397199221</v>
      </c>
      <c r="J82" s="22">
        <v>35107.422203099995</v>
      </c>
      <c r="K82" s="37">
        <v>34422.89016188499</v>
      </c>
      <c r="L82" s="22">
        <v>684.5320412150031</v>
      </c>
      <c r="M82" s="69">
        <v>0.019885954897911402</v>
      </c>
      <c r="N82" s="70">
        <v>1273818.2110429122</v>
      </c>
      <c r="O82" s="37">
        <v>1375844.8843032613</v>
      </c>
      <c r="P82" s="22">
        <v>-102026.67326034908</v>
      </c>
      <c r="Q82" s="69">
        <v>-0.0741556511379669</v>
      </c>
    </row>
    <row r="83" ht="22.5" customHeight="1">
      <c r="A83" s="66">
        <v>45826.0</v>
      </c>
      <c r="B83" s="68">
        <v>251111.51</v>
      </c>
      <c r="C83" s="68">
        <v>246504.43999999997</v>
      </c>
      <c r="D83" s="68">
        <v>4607.070000000036</v>
      </c>
      <c r="E83" s="69">
        <v>0.018689602507768365</v>
      </c>
      <c r="F83" s="70">
        <v>1024413.3653218012</v>
      </c>
      <c r="G83" s="37">
        <v>1129340.4443032613</v>
      </c>
      <c r="H83" s="22">
        <v>-104927.07898146019</v>
      </c>
      <c r="I83" s="69">
        <v>-0.09291005162415326</v>
      </c>
      <c r="J83" s="22">
        <v>34547.75092900001</v>
      </c>
      <c r="K83" s="37">
        <v>34422.89016188499</v>
      </c>
      <c r="L83" s="22">
        <v>124.86076711501664</v>
      </c>
      <c r="M83" s="69">
        <v>0.003627259841571051</v>
      </c>
      <c r="N83" s="70">
        <v>1275524.8753218013</v>
      </c>
      <c r="O83" s="37">
        <v>1375844.8843032613</v>
      </c>
      <c r="P83" s="22">
        <v>-100320.00898146</v>
      </c>
      <c r="Q83" s="69">
        <v>-0.07291520296073409</v>
      </c>
    </row>
    <row r="84" ht="22.5" customHeight="1">
      <c r="A84" s="66">
        <v>45827.0</v>
      </c>
      <c r="B84" s="68">
        <v>253015.84</v>
      </c>
      <c r="C84" s="68">
        <v>246504.43999999997</v>
      </c>
      <c r="D84" s="68">
        <v>6511.400000000023</v>
      </c>
      <c r="E84" s="69">
        <v>0.02641494003110055</v>
      </c>
      <c r="F84" s="70">
        <v>1027947.48933777</v>
      </c>
      <c r="G84" s="37">
        <v>1129340.4443032613</v>
      </c>
      <c r="H84" s="22">
        <v>-101392.95496549131</v>
      </c>
      <c r="I84" s="69">
        <v>-0.08978068170404097</v>
      </c>
      <c r="J84" s="22">
        <v>34789.196930699996</v>
      </c>
      <c r="K84" s="37">
        <v>34422.89016188499</v>
      </c>
      <c r="L84" s="22">
        <v>366.30676881500403</v>
      </c>
      <c r="M84" s="69">
        <v>0.010641371688789805</v>
      </c>
      <c r="N84" s="70">
        <v>1280963.3293377701</v>
      </c>
      <c r="O84" s="37">
        <v>1375844.8843032613</v>
      </c>
      <c r="P84" s="22">
        <v>-94881.55496549117</v>
      </c>
      <c r="Q84" s="69">
        <v>-0.06896239252547713</v>
      </c>
    </row>
    <row r="85" ht="22.5" customHeight="1">
      <c r="A85" s="66">
        <v>45828.0</v>
      </c>
      <c r="B85" s="68">
        <v>250706.13</v>
      </c>
      <c r="C85" s="68">
        <v>246504.43999999997</v>
      </c>
      <c r="D85" s="68">
        <v>4201.690000000031</v>
      </c>
      <c r="E85" s="69">
        <v>0.017045088518486854</v>
      </c>
      <c r="F85" s="70">
        <v>1020602.2479544113</v>
      </c>
      <c r="G85" s="37">
        <v>1129340.4443032613</v>
      </c>
      <c r="H85" s="22">
        <v>-108738.19634885003</v>
      </c>
      <c r="I85" s="69">
        <v>-0.09628469156254764</v>
      </c>
      <c r="J85" s="22">
        <v>34788.3169307</v>
      </c>
      <c r="K85" s="37">
        <v>34422.89016188499</v>
      </c>
      <c r="L85" s="22">
        <v>365.42676881500665</v>
      </c>
      <c r="M85" s="69">
        <v>0.010615807304281156</v>
      </c>
      <c r="N85" s="70">
        <v>1271308.3779544113</v>
      </c>
      <c r="O85" s="37">
        <v>1375844.8843032613</v>
      </c>
      <c r="P85" s="22">
        <v>-104536.50634884997</v>
      </c>
      <c r="Q85" s="69">
        <v>-0.07597986338539034</v>
      </c>
    </row>
    <row r="86" ht="22.5" customHeight="1">
      <c r="A86" s="66">
        <v>45831.0</v>
      </c>
      <c r="B86" s="68">
        <v>250247.17</v>
      </c>
      <c r="C86" s="68">
        <v>246504.43999999997</v>
      </c>
      <c r="D86" s="68">
        <v>3742.7300000000396</v>
      </c>
      <c r="E86" s="69">
        <v>0.015183215361151466</v>
      </c>
      <c r="F86" s="70">
        <v>1026940.6229192804</v>
      </c>
      <c r="G86" s="37">
        <v>1129340.4443032613</v>
      </c>
      <c r="H86" s="22">
        <v>-102399.82138398092</v>
      </c>
      <c r="I86" s="69">
        <v>-0.09067223431208626</v>
      </c>
      <c r="J86" s="22">
        <v>34545.13911090002</v>
      </c>
      <c r="K86" s="37">
        <v>34422.89016188499</v>
      </c>
      <c r="L86" s="22">
        <v>122.24894901502557</v>
      </c>
      <c r="M86" s="69">
        <v>0.0035513853845539865</v>
      </c>
      <c r="N86" s="70">
        <v>1277187.7929192805</v>
      </c>
      <c r="O86" s="37">
        <v>1375844.8843032613</v>
      </c>
      <c r="P86" s="22">
        <v>-98657.09138398082</v>
      </c>
      <c r="Q86" s="69">
        <v>-0.07170655101424572</v>
      </c>
    </row>
    <row r="87" ht="22.5" customHeight="1">
      <c r="A87" s="66">
        <v>45832.0</v>
      </c>
      <c r="B87" s="68">
        <v>248354.28</v>
      </c>
      <c r="C87" s="68">
        <v>246504.43999999997</v>
      </c>
      <c r="D87" s="68">
        <v>1849.8400000000256</v>
      </c>
      <c r="E87" s="69">
        <v>0.007504286738202468</v>
      </c>
      <c r="F87" s="70">
        <v>1056078.6181804934</v>
      </c>
      <c r="G87" s="37">
        <v>1129340.4443032613</v>
      </c>
      <c r="H87" s="22">
        <v>-73261.82612276799</v>
      </c>
      <c r="I87" s="69">
        <v>-0.06487133839253084</v>
      </c>
      <c r="J87" s="22">
        <v>35607.35757039999</v>
      </c>
      <c r="K87" s="37">
        <v>34422.89016188499</v>
      </c>
      <c r="L87" s="22">
        <v>1184.4674085149964</v>
      </c>
      <c r="M87" s="69">
        <v>0.03440929576060139</v>
      </c>
      <c r="N87" s="70">
        <v>1304432.8981804934</v>
      </c>
      <c r="O87" s="37">
        <v>1375844.8843032613</v>
      </c>
      <c r="P87" s="22">
        <v>-71411.9861227679</v>
      </c>
      <c r="Q87" s="69">
        <v>-0.051904096848048024</v>
      </c>
    </row>
    <row r="88" ht="22.5" customHeight="1">
      <c r="A88" s="66">
        <v>45833.0</v>
      </c>
      <c r="B88" s="68">
        <v>252762.43</v>
      </c>
      <c r="C88" s="68">
        <v>246504.43999999997</v>
      </c>
      <c r="D88" s="68">
        <v>6257.99000000002</v>
      </c>
      <c r="E88" s="69">
        <v>0.025386926093501686</v>
      </c>
      <c r="F88" s="70">
        <v>1053017.3493883985</v>
      </c>
      <c r="G88" s="37">
        <v>1129340.444303261</v>
      </c>
      <c r="H88" s="22">
        <v>-76323.09491486265</v>
      </c>
      <c r="I88" s="69">
        <v>-0.0675820079763013</v>
      </c>
      <c r="J88" s="22">
        <v>35733.1746142</v>
      </c>
      <c r="K88" s="37">
        <v>34422.890161885</v>
      </c>
      <c r="L88" s="22">
        <v>1310.284452314998</v>
      </c>
      <c r="M88" s="69">
        <v>0.03806433585770843</v>
      </c>
      <c r="N88" s="70">
        <v>1305779.7793883984</v>
      </c>
      <c r="O88" s="37">
        <v>1375844.884303261</v>
      </c>
      <c r="P88" s="22">
        <v>-70065.10491486266</v>
      </c>
      <c r="Q88" s="69">
        <v>-0.05092514840460682</v>
      </c>
    </row>
    <row r="89" ht="22.5" customHeight="1">
      <c r="A89" s="66">
        <v>45834.0</v>
      </c>
      <c r="B89" s="68">
        <v>256072.35</v>
      </c>
      <c r="C89" s="68">
        <v>246504.43999999997</v>
      </c>
      <c r="D89" s="68">
        <v>9567.910000000033</v>
      </c>
      <c r="E89" s="69">
        <v>0.03881435157922524</v>
      </c>
      <c r="F89" s="70">
        <v>1052461.036237061</v>
      </c>
      <c r="G89" s="37">
        <v>1154057.5258776625</v>
      </c>
      <c r="H89" s="22">
        <v>-101596.48964060144</v>
      </c>
      <c r="I89" s="69">
        <v>-0.0880341641230901</v>
      </c>
      <c r="J89" s="22">
        <v>35838.3506068</v>
      </c>
      <c r="K89" s="37">
        <v>35175.890161885</v>
      </c>
      <c r="L89" s="22">
        <v>662.4604449149992</v>
      </c>
      <c r="M89" s="69">
        <v>0.018832798313454236</v>
      </c>
      <c r="N89" s="70">
        <v>1308533.3862370611</v>
      </c>
      <c r="O89" s="37">
        <v>1400561.9658776624</v>
      </c>
      <c r="P89" s="22">
        <v>-92028.5796406013</v>
      </c>
      <c r="Q89" s="69">
        <v>-0.06570832414610914</v>
      </c>
    </row>
    <row r="90" ht="22.5" customHeight="1">
      <c r="A90" s="66">
        <v>45835.0</v>
      </c>
      <c r="B90" s="68">
        <v>256211.41999999998</v>
      </c>
      <c r="C90" s="68">
        <v>246504.43999999997</v>
      </c>
      <c r="D90" s="68">
        <v>9706.98000000001</v>
      </c>
      <c r="E90" s="69">
        <v>0.03937851991631474</v>
      </c>
      <c r="F90" s="70">
        <v>1049923.0070999057</v>
      </c>
      <c r="G90" s="37">
        <v>1154057.5258776625</v>
      </c>
      <c r="H90" s="22">
        <v>-104134.51877775672</v>
      </c>
      <c r="I90" s="69">
        <v>-0.09023338650173635</v>
      </c>
      <c r="J90" s="22">
        <v>35973.145177700004</v>
      </c>
      <c r="K90" s="37">
        <v>35175.890161885</v>
      </c>
      <c r="L90" s="22">
        <v>797.2550158150043</v>
      </c>
      <c r="M90" s="69">
        <v>0.022664814227754033</v>
      </c>
      <c r="N90" s="70">
        <v>1306134.4270999057</v>
      </c>
      <c r="O90" s="37">
        <v>1400561.9658776624</v>
      </c>
      <c r="P90" s="22">
        <v>-94427.53877775674</v>
      </c>
      <c r="Q90" s="69">
        <v>-0.06742117883986926</v>
      </c>
    </row>
    <row r="91" ht="22.5" customHeight="1">
      <c r="A91" s="66">
        <v>45838.0</v>
      </c>
      <c r="B91" s="68">
        <v>256507.31</v>
      </c>
      <c r="C91" s="68">
        <v>246504.43999999997</v>
      </c>
      <c r="D91" s="68">
        <v>10002.870000000024</v>
      </c>
      <c r="E91" s="69">
        <v>0.040578863407085185</v>
      </c>
      <c r="F91" s="70">
        <v>1046642.1222212722</v>
      </c>
      <c r="G91" s="37">
        <v>1154057.5258776625</v>
      </c>
      <c r="H91" s="22">
        <v>-107415.40365639026</v>
      </c>
      <c r="I91" s="69">
        <v>-0.09307629927260401</v>
      </c>
      <c r="J91" s="22">
        <v>35958.309904500005</v>
      </c>
      <c r="K91" s="37">
        <v>35175.890161885</v>
      </c>
      <c r="L91" s="22">
        <v>782.4197426150058</v>
      </c>
      <c r="M91" s="69">
        <v>0.022243068732992588</v>
      </c>
      <c r="N91" s="70">
        <v>1303149.4322212723</v>
      </c>
      <c r="O91" s="37">
        <v>1400561.9658776624</v>
      </c>
      <c r="P91" s="22">
        <v>-97412.53365639015</v>
      </c>
      <c r="Q91" s="69">
        <v>-0.069552462532671</v>
      </c>
    </row>
    <row r="92" ht="22.5" customHeight="1">
      <c r="A92" s="66">
        <v>45839.0</v>
      </c>
      <c r="B92" s="68">
        <v>256962.19</v>
      </c>
      <c r="C92" s="68">
        <v>246504.43999999997</v>
      </c>
      <c r="D92" s="68">
        <v>10457.75000000003</v>
      </c>
      <c r="E92" s="69">
        <v>0.0424241851384098</v>
      </c>
      <c r="F92" s="70">
        <v>1049302.1792546003</v>
      </c>
      <c r="G92" s="37">
        <v>1154057.5258776625</v>
      </c>
      <c r="H92" s="22">
        <v>-104755.34662306216</v>
      </c>
      <c r="I92" s="69">
        <v>-0.09077133875401537</v>
      </c>
      <c r="J92" s="22">
        <v>35956.5636996</v>
      </c>
      <c r="K92" s="37">
        <v>35175.890161885</v>
      </c>
      <c r="L92" s="22">
        <v>780.6735377150035</v>
      </c>
      <c r="M92" s="69">
        <v>0.02219342663745596</v>
      </c>
      <c r="N92" s="70">
        <v>1306264.3692546003</v>
      </c>
      <c r="O92" s="37">
        <v>1400561.9658776624</v>
      </c>
      <c r="P92" s="22">
        <v>-94297.59662306216</v>
      </c>
      <c r="Q92" s="69">
        <v>-0.06732840025680017</v>
      </c>
    </row>
    <row r="93" ht="22.5" customHeight="1">
      <c r="A93" s="66">
        <v>45840.0</v>
      </c>
      <c r="B93" s="68">
        <v>258316.94</v>
      </c>
      <c r="C93" s="68">
        <v>246504.43999999997</v>
      </c>
      <c r="D93" s="68">
        <v>11812.50000000003</v>
      </c>
      <c r="E93" s="69">
        <v>0.04792002935119558</v>
      </c>
      <c r="F93" s="70">
        <v>1028525.6316892969</v>
      </c>
      <c r="G93" s="37">
        <v>1155528.0773445063</v>
      </c>
      <c r="H93" s="22">
        <v>-127002.44565520936</v>
      </c>
      <c r="I93" s="69">
        <v>-0.10990857612657141</v>
      </c>
      <c r="J93" s="22">
        <v>35191.0613746</v>
      </c>
      <c r="K93" s="37">
        <v>35220.690161884995</v>
      </c>
      <c r="L93" s="22">
        <v>-29.62878728499345</v>
      </c>
      <c r="M93" s="69">
        <v>-8.412324445889771E-4</v>
      </c>
      <c r="N93" s="70">
        <v>1286842.571689297</v>
      </c>
      <c r="O93" s="37">
        <v>1402032.5173445062</v>
      </c>
      <c r="P93" s="22">
        <v>-115189.94565520925</v>
      </c>
      <c r="Q93" s="69">
        <v>-0.08215925396180014</v>
      </c>
    </row>
    <row r="94" ht="22.5" customHeight="1">
      <c r="A94" s="66">
        <v>45841.0</v>
      </c>
      <c r="B94" s="68">
        <v>258373.02000000002</v>
      </c>
      <c r="C94" s="68">
        <v>246504.43999999997</v>
      </c>
      <c r="D94" s="68">
        <v>11868.580000000045</v>
      </c>
      <c r="E94" s="69">
        <v>0.04814753032440327</v>
      </c>
      <c r="F94" s="70">
        <v>1045897.268147122</v>
      </c>
      <c r="G94" s="37">
        <v>1155528.0773445063</v>
      </c>
      <c r="H94" s="22">
        <v>-109630.80919738428</v>
      </c>
      <c r="I94" s="69">
        <v>-0.09487507170688958</v>
      </c>
      <c r="J94" s="22">
        <v>36080.234349</v>
      </c>
      <c r="K94" s="37">
        <v>35220.690161884995</v>
      </c>
      <c r="L94" s="22">
        <v>859.5441871150033</v>
      </c>
      <c r="M94" s="69">
        <v>0.024404524248794586</v>
      </c>
      <c r="N94" s="70">
        <v>1304270.2881471221</v>
      </c>
      <c r="O94" s="37">
        <v>1402032.5173445062</v>
      </c>
      <c r="P94" s="22">
        <v>-97762.22919738409</v>
      </c>
      <c r="Q94" s="69">
        <v>-0.06972893138209721</v>
      </c>
    </row>
    <row r="95" ht="22.5" customHeight="1">
      <c r="A95" s="66">
        <v>45842.0</v>
      </c>
      <c r="B95" s="68">
        <v>261521.06999999998</v>
      </c>
      <c r="C95" s="68">
        <v>246504.43999999997</v>
      </c>
      <c r="D95" s="68">
        <v>15016.630000000005</v>
      </c>
      <c r="E95" s="69">
        <v>0.06091829421003535</v>
      </c>
      <c r="F95" s="70">
        <v>1048409.1108347225</v>
      </c>
      <c r="G95" s="37">
        <v>1155528.0773445063</v>
      </c>
      <c r="H95" s="22">
        <v>-107118.96650978376</v>
      </c>
      <c r="I95" s="69">
        <v>-0.09270130999841346</v>
      </c>
      <c r="J95" s="22">
        <v>36236.772123400006</v>
      </c>
      <c r="K95" s="37">
        <v>35220.690161884995</v>
      </c>
      <c r="L95" s="22">
        <v>1016.0819615150103</v>
      </c>
      <c r="M95" s="69">
        <v>0.028849007695328766</v>
      </c>
      <c r="N95" s="70">
        <v>1309930.1808347225</v>
      </c>
      <c r="O95" s="37">
        <v>1402032.5173445062</v>
      </c>
      <c r="P95" s="22">
        <v>-92102.33650978375</v>
      </c>
      <c r="Q95" s="69">
        <v>-0.06569201168331565</v>
      </c>
    </row>
    <row r="96" ht="22.5" customHeight="1">
      <c r="A96" s="66">
        <v>45845.0</v>
      </c>
      <c r="B96" s="68">
        <v>259320.84</v>
      </c>
      <c r="C96" s="68">
        <v>246504.43999999997</v>
      </c>
      <c r="D96" s="68">
        <v>12816.400000000023</v>
      </c>
      <c r="E96" s="69">
        <v>0.05199257262871218</v>
      </c>
      <c r="F96" s="70">
        <v>1047822.1947076714</v>
      </c>
      <c r="G96" s="37">
        <v>1155528.0773445063</v>
      </c>
      <c r="H96" s="22">
        <v>-107705.88263683487</v>
      </c>
      <c r="I96" s="69">
        <v>-0.09320923026323288</v>
      </c>
      <c r="J96" s="22">
        <v>36236.772123400006</v>
      </c>
      <c r="K96" s="37">
        <v>35220.690161884995</v>
      </c>
      <c r="L96" s="22">
        <v>1016.0819615150103</v>
      </c>
      <c r="M96" s="69">
        <v>0.028849007695328766</v>
      </c>
      <c r="N96" s="70">
        <v>1307143.0347076715</v>
      </c>
      <c r="O96" s="37">
        <v>1402032.5173445062</v>
      </c>
      <c r="P96" s="22">
        <v>-94889.48263683473</v>
      </c>
      <c r="Q96" s="69">
        <v>-0.06767994426873808</v>
      </c>
    </row>
    <row r="97" ht="22.5" customHeight="1">
      <c r="A97" s="66">
        <v>45846.0</v>
      </c>
      <c r="B97" s="68">
        <v>258007.38999999998</v>
      </c>
      <c r="C97" s="68">
        <v>246504.43999999997</v>
      </c>
      <c r="D97" s="68">
        <v>11502.950000000012</v>
      </c>
      <c r="E97" s="69">
        <v>0.04666427103706535</v>
      </c>
      <c r="F97" s="70">
        <v>1023905.563157889</v>
      </c>
      <c r="G97" s="37">
        <v>1155528.0773445063</v>
      </c>
      <c r="H97" s="22">
        <v>-131622.51418661734</v>
      </c>
      <c r="I97" s="69">
        <v>-0.11390680743050065</v>
      </c>
      <c r="J97" s="22">
        <v>35205.235995099996</v>
      </c>
      <c r="K97" s="37">
        <v>35220.690161884995</v>
      </c>
      <c r="L97" s="22">
        <v>-15.45416678499896</v>
      </c>
      <c r="M97" s="69">
        <v>-4.3878091865795114E-4</v>
      </c>
      <c r="N97" s="70">
        <v>1281912.953157889</v>
      </c>
      <c r="O97" s="37">
        <v>1402032.5173445062</v>
      </c>
      <c r="P97" s="22">
        <v>-120119.56418661727</v>
      </c>
      <c r="Q97" s="69">
        <v>-0.08567530545876889</v>
      </c>
    </row>
    <row r="98" ht="22.5" customHeight="1">
      <c r="A98" s="66">
        <v>45847.0</v>
      </c>
      <c r="B98" s="68">
        <v>256868.61</v>
      </c>
      <c r="C98" s="68">
        <v>246504.43999999997</v>
      </c>
      <c r="D98" s="68">
        <v>10364.170000000013</v>
      </c>
      <c r="E98" s="69">
        <v>0.04204455708789673</v>
      </c>
      <c r="F98" s="70">
        <v>1028267.9977115719</v>
      </c>
      <c r="G98" s="37">
        <v>1155528.0773445063</v>
      </c>
      <c r="H98" s="22">
        <v>-127260.07963293442</v>
      </c>
      <c r="I98" s="69">
        <v>-0.11013153390905742</v>
      </c>
      <c r="J98" s="22">
        <v>35303.15715119999</v>
      </c>
      <c r="K98" s="37">
        <v>35220.690161884995</v>
      </c>
      <c r="L98" s="22">
        <v>82.46698931499122</v>
      </c>
      <c r="M98" s="69">
        <v>0.002341435926892627</v>
      </c>
      <c r="N98" s="70">
        <v>1285136.6077115717</v>
      </c>
      <c r="O98" s="37">
        <v>1402032.5173445062</v>
      </c>
      <c r="P98" s="22">
        <v>-116895.90963293449</v>
      </c>
      <c r="Q98" s="69">
        <v>-0.08337603314246879</v>
      </c>
    </row>
    <row r="99" ht="22.5" customHeight="1">
      <c r="A99" s="66">
        <v>45848.0</v>
      </c>
      <c r="B99" s="68">
        <v>259251.27</v>
      </c>
      <c r="C99" s="68">
        <v>246504.43999999997</v>
      </c>
      <c r="D99" s="68">
        <v>12746.830000000016</v>
      </c>
      <c r="E99" s="69">
        <v>0.05171034647489521</v>
      </c>
      <c r="F99" s="70">
        <v>1068159.3913016375</v>
      </c>
      <c r="G99" s="37">
        <v>1155528.0773445063</v>
      </c>
      <c r="H99" s="22">
        <v>-87368.68604286877</v>
      </c>
      <c r="I99" s="69">
        <v>-0.07560931469847866</v>
      </c>
      <c r="J99" s="22">
        <v>36558.27854320001</v>
      </c>
      <c r="K99" s="37">
        <v>35220.690161884995</v>
      </c>
      <c r="L99" s="22">
        <v>1337.588381315014</v>
      </c>
      <c r="M99" s="69">
        <v>0.037977347268524586</v>
      </c>
      <c r="N99" s="70">
        <v>1327410.6613016375</v>
      </c>
      <c r="O99" s="37">
        <v>1402032.5173445062</v>
      </c>
      <c r="P99" s="22">
        <v>-74621.85604286869</v>
      </c>
      <c r="Q99" s="69">
        <v>-0.05322405516257557</v>
      </c>
    </row>
    <row r="100" ht="22.5" customHeight="1">
      <c r="A100" s="66">
        <v>45849.0</v>
      </c>
      <c r="B100" s="68">
        <v>262028.71999999997</v>
      </c>
      <c r="C100" s="68">
        <v>246504.43999999997</v>
      </c>
      <c r="D100" s="68">
        <v>15524.279999999999</v>
      </c>
      <c r="E100" s="69">
        <v>0.06297768916454406</v>
      </c>
      <c r="F100" s="70">
        <v>1084439.9389712394</v>
      </c>
      <c r="G100" s="37">
        <v>1155528.0773445063</v>
      </c>
      <c r="H100" s="22">
        <v>-71088.1383732669</v>
      </c>
      <c r="I100" s="69">
        <v>-0.061520044183290636</v>
      </c>
      <c r="J100" s="22">
        <v>37062.83866750001</v>
      </c>
      <c r="K100" s="37">
        <v>35220.690161884995</v>
      </c>
      <c r="L100" s="22">
        <v>1842.1485056150123</v>
      </c>
      <c r="M100" s="69">
        <v>0.05230302123972977</v>
      </c>
      <c r="N100" s="70">
        <v>1346468.6589712393</v>
      </c>
      <c r="O100" s="37">
        <v>1402032.5173445062</v>
      </c>
      <c r="P100" s="22">
        <v>-55563.85837326688</v>
      </c>
      <c r="Q100" s="69">
        <v>-0.03963093415158914</v>
      </c>
    </row>
    <row r="101" ht="22.5" customHeight="1">
      <c r="A101" s="66">
        <v>45852.0</v>
      </c>
      <c r="B101" s="68">
        <v>263068.85</v>
      </c>
      <c r="C101" s="68">
        <v>246504.43999999997</v>
      </c>
      <c r="D101" s="68">
        <v>16564.410000000003</v>
      </c>
      <c r="E101" s="69">
        <v>0.067197207482348</v>
      </c>
      <c r="F101" s="70">
        <v>1088896.9107316874</v>
      </c>
      <c r="G101" s="37">
        <v>1155528.0773445063</v>
      </c>
      <c r="H101" s="22">
        <v>-66631.16661281884</v>
      </c>
      <c r="I101" s="69">
        <v>-0.05766295767208224</v>
      </c>
      <c r="J101" s="22">
        <v>37235.51937120001</v>
      </c>
      <c r="K101" s="37">
        <v>35220.690161884995</v>
      </c>
      <c r="L101" s="22">
        <v>2014.8292093150158</v>
      </c>
      <c r="M101" s="69">
        <v>0.05720584122725161</v>
      </c>
      <c r="N101" s="70">
        <v>1351965.7607316873</v>
      </c>
      <c r="O101" s="37">
        <v>1402032.5173445062</v>
      </c>
      <c r="P101" s="22">
        <v>-50066.75661281892</v>
      </c>
      <c r="Q101" s="69">
        <v>-0.03571012511724545</v>
      </c>
    </row>
    <row r="102" ht="22.5" customHeight="1">
      <c r="A102" s="66">
        <v>45853.0</v>
      </c>
      <c r="B102" s="68">
        <v>261620.01</v>
      </c>
      <c r="C102" s="68">
        <v>246504.43999999997</v>
      </c>
      <c r="D102" s="68">
        <v>15115.570000000036</v>
      </c>
      <c r="E102" s="69">
        <v>0.061319666290798</v>
      </c>
      <c r="F102" s="70">
        <v>1103673.6883701133</v>
      </c>
      <c r="G102" s="37">
        <v>1155528.0773445063</v>
      </c>
      <c r="H102" s="22">
        <v>-51854.38897439302</v>
      </c>
      <c r="I102" s="69">
        <v>-0.04487505755252478</v>
      </c>
      <c r="J102" s="22">
        <v>37594.53613220001</v>
      </c>
      <c r="K102" s="37">
        <v>35220.690161884995</v>
      </c>
      <c r="L102" s="22">
        <v>2373.8459703150147</v>
      </c>
      <c r="M102" s="69">
        <v>0.06739918949356465</v>
      </c>
      <c r="N102" s="70">
        <v>1365293.6983701133</v>
      </c>
      <c r="O102" s="37">
        <v>1402032.5173445062</v>
      </c>
      <c r="P102" s="22">
        <v>-36738.818974392954</v>
      </c>
      <c r="Q102" s="69">
        <v>-0.0262039706782104</v>
      </c>
    </row>
    <row r="103" ht="22.5" customHeight="1">
      <c r="A103" s="66">
        <v>45854.0</v>
      </c>
      <c r="B103" s="68">
        <v>265015.17</v>
      </c>
      <c r="C103" s="68">
        <v>246504.43999999997</v>
      </c>
      <c r="D103" s="68">
        <v>18510.73000000001</v>
      </c>
      <c r="E103" s="69">
        <v>0.07509288676504168</v>
      </c>
      <c r="F103" s="70">
        <v>1094887.4940578511</v>
      </c>
      <c r="G103" s="37">
        <v>1155528.0773445063</v>
      </c>
      <c r="H103" s="22">
        <v>-60640.583286655135</v>
      </c>
      <c r="I103" s="69">
        <v>-0.052478675746254415</v>
      </c>
      <c r="J103" s="22">
        <v>37251.8499352</v>
      </c>
      <c r="K103" s="37">
        <v>35220.690161884995</v>
      </c>
      <c r="L103" s="22">
        <v>2031.1597733150047</v>
      </c>
      <c r="M103" s="69">
        <v>0.057669505168103666</v>
      </c>
      <c r="N103" s="70">
        <v>1359902.664057851</v>
      </c>
      <c r="O103" s="37">
        <v>1402032.5173445062</v>
      </c>
      <c r="P103" s="22">
        <v>-42129.853286655154</v>
      </c>
      <c r="Q103" s="69">
        <v>-0.03004912708190993</v>
      </c>
    </row>
    <row r="104" ht="22.5" customHeight="1">
      <c r="A104" s="66">
        <v>45855.0</v>
      </c>
      <c r="B104" s="68">
        <v>266848.95</v>
      </c>
      <c r="C104" s="68">
        <v>246504.43999999997</v>
      </c>
      <c r="D104" s="68">
        <v>20344.51000000004</v>
      </c>
      <c r="E104" s="69">
        <v>0.08253202254693684</v>
      </c>
      <c r="F104" s="70">
        <v>1110197.89600675</v>
      </c>
      <c r="G104" s="37">
        <v>1155528.0773445063</v>
      </c>
      <c r="H104" s="22">
        <v>-45330.18133775634</v>
      </c>
      <c r="I104" s="69">
        <v>-0.039228974376744385</v>
      </c>
      <c r="J104" s="22">
        <v>37729.37605260001</v>
      </c>
      <c r="K104" s="37">
        <v>35220.690161884995</v>
      </c>
      <c r="L104" s="22">
        <v>2508.6858907150163</v>
      </c>
      <c r="M104" s="69">
        <v>0.07122761874296993</v>
      </c>
      <c r="N104" s="70">
        <v>1377046.84600675</v>
      </c>
      <c r="O104" s="37">
        <v>1402032.5173445062</v>
      </c>
      <c r="P104" s="22">
        <v>-24985.67133775633</v>
      </c>
      <c r="Q104" s="69">
        <v>-0.017821035552784453</v>
      </c>
    </row>
    <row r="105" ht="22.5" customHeight="1">
      <c r="A105" s="66">
        <v>45856.0</v>
      </c>
      <c r="B105" s="68">
        <v>268296.51</v>
      </c>
      <c r="C105" s="68">
        <v>246504.43999999997</v>
      </c>
      <c r="D105" s="68">
        <v>21792.070000000036</v>
      </c>
      <c r="E105" s="69">
        <v>0.08840437113424829</v>
      </c>
      <c r="F105" s="70">
        <v>1111957.9013205168</v>
      </c>
      <c r="G105" s="37">
        <v>1155528.0773445063</v>
      </c>
      <c r="H105" s="22">
        <v>-43570.17602398945</v>
      </c>
      <c r="I105" s="69">
        <v>-0.037705856636661844</v>
      </c>
      <c r="J105" s="22">
        <v>37781.6162978</v>
      </c>
      <c r="K105" s="37">
        <v>35220.690161884995</v>
      </c>
      <c r="L105" s="22">
        <v>2560.926135915004</v>
      </c>
      <c r="M105" s="69">
        <v>0.07271084479447193</v>
      </c>
      <c r="N105" s="70">
        <v>1380254.4113205168</v>
      </c>
      <c r="O105" s="37">
        <v>1402032.5173445062</v>
      </c>
      <c r="P105" s="22">
        <v>-21778.106023989385</v>
      </c>
      <c r="Q105" s="69">
        <v>-0.015533238890377382</v>
      </c>
    </row>
    <row r="106" ht="22.5" customHeight="1">
      <c r="A106" s="66">
        <v>45859.0</v>
      </c>
      <c r="B106" s="68">
        <v>271899.77</v>
      </c>
      <c r="C106" s="68">
        <v>246504.43999999997</v>
      </c>
      <c r="D106" s="68">
        <v>25395.330000000045</v>
      </c>
      <c r="E106" s="69">
        <v>0.10302179546948545</v>
      </c>
      <c r="F106" s="70">
        <v>1124056.1224512665</v>
      </c>
      <c r="G106" s="37">
        <v>1155528.0773445063</v>
      </c>
      <c r="H106" s="22">
        <v>-31471.954893239774</v>
      </c>
      <c r="I106" s="69">
        <v>-0.027235993231393203</v>
      </c>
      <c r="J106" s="22">
        <v>38242.311438900004</v>
      </c>
      <c r="K106" s="37">
        <v>35220.690161884995</v>
      </c>
      <c r="L106" s="22">
        <v>3021.6212770150087</v>
      </c>
      <c r="M106" s="69">
        <v>0.08579108652121009</v>
      </c>
      <c r="N106" s="70">
        <v>1395955.8924512665</v>
      </c>
      <c r="O106" s="37">
        <v>1402032.5173445062</v>
      </c>
      <c r="P106" s="22">
        <v>-6076.624893239699</v>
      </c>
      <c r="Q106" s="69">
        <v>-0.004334154035705975</v>
      </c>
    </row>
    <row r="107" ht="22.5" customHeight="1">
      <c r="A107" s="66">
        <v>45860.0</v>
      </c>
      <c r="B107" s="68">
        <v>269363.06</v>
      </c>
      <c r="C107" s="68">
        <v>246504.43999999997</v>
      </c>
      <c r="D107" s="68">
        <v>22858.620000000024</v>
      </c>
      <c r="E107" s="69">
        <v>0.09273106804891638</v>
      </c>
      <c r="F107" s="70">
        <v>1122099.0695749775</v>
      </c>
      <c r="G107" s="37">
        <v>1155528.0773445063</v>
      </c>
      <c r="H107" s="22">
        <v>-33429.00776952878</v>
      </c>
      <c r="I107" s="69">
        <v>-0.028929636955556497</v>
      </c>
      <c r="J107" s="22">
        <v>38226.314878500016</v>
      </c>
      <c r="K107" s="37">
        <v>35220.690161884995</v>
      </c>
      <c r="L107" s="22">
        <v>3005.6247166150206</v>
      </c>
      <c r="M107" s="69">
        <v>0.08533690574489756</v>
      </c>
      <c r="N107" s="70">
        <v>1391462.1295749776</v>
      </c>
      <c r="O107" s="37">
        <v>1402032.5173445062</v>
      </c>
      <c r="P107" s="22">
        <v>-10570.387769528665</v>
      </c>
      <c r="Q107" s="69">
        <v>-0.007539331391221447</v>
      </c>
    </row>
    <row r="108" ht="22.5" customHeight="1">
      <c r="A108" s="66">
        <v>45861.0</v>
      </c>
      <c r="B108" s="68">
        <v>267537.83999999997</v>
      </c>
      <c r="C108" s="68">
        <v>246504.43999999997</v>
      </c>
      <c r="D108" s="68">
        <v>21033.399999999994</v>
      </c>
      <c r="E108" s="69">
        <v>0.08532665780786747</v>
      </c>
      <c r="F108" s="70">
        <v>1125963.1672710874</v>
      </c>
      <c r="G108" s="37">
        <v>1155528.0773445063</v>
      </c>
      <c r="H108" s="22">
        <v>-29564.91007341887</v>
      </c>
      <c r="I108" s="69">
        <v>-0.025585626739041547</v>
      </c>
      <c r="J108" s="22">
        <v>38311.880040799995</v>
      </c>
      <c r="K108" s="37">
        <v>35220.690161884995</v>
      </c>
      <c r="L108" s="22">
        <v>3091.189878915</v>
      </c>
      <c r="M108" s="69">
        <v>0.08776630624519145</v>
      </c>
      <c r="N108" s="70">
        <v>1393501.0072710873</v>
      </c>
      <c r="O108" s="37">
        <v>1402032.5173445062</v>
      </c>
      <c r="P108" s="22">
        <v>-8531.510073418962</v>
      </c>
      <c r="Q108" s="69">
        <v>-0.006085101428016742</v>
      </c>
    </row>
    <row r="109" ht="22.5" customHeight="1">
      <c r="A109" s="66">
        <v>45862.0</v>
      </c>
      <c r="B109" s="68">
        <v>269841.04</v>
      </c>
      <c r="C109" s="68">
        <v>246504.43999999997</v>
      </c>
      <c r="D109" s="68">
        <v>23336.600000000006</v>
      </c>
      <c r="E109" s="69">
        <v>0.09467010005986103</v>
      </c>
      <c r="F109" s="70">
        <v>1130329.2243265114</v>
      </c>
      <c r="G109" s="37">
        <v>1155528.0773445063</v>
      </c>
      <c r="H109" s="22">
        <v>-25198.8530179949</v>
      </c>
      <c r="I109" s="69">
        <v>-0.021807218285776173</v>
      </c>
      <c r="J109" s="22">
        <v>38526.5142489</v>
      </c>
      <c r="K109" s="37">
        <v>35220.690161884995</v>
      </c>
      <c r="L109" s="22">
        <v>3305.824087015004</v>
      </c>
      <c r="M109" s="69">
        <v>0.09386028700233959</v>
      </c>
      <c r="N109" s="70">
        <v>1400170.2643265114</v>
      </c>
      <c r="O109" s="37">
        <v>1402032.5173445062</v>
      </c>
      <c r="P109" s="22">
        <v>-1862.253017994808</v>
      </c>
      <c r="Q109" s="69">
        <v>-0.0013282523728636293</v>
      </c>
    </row>
    <row r="110" ht="22.5" customHeight="1">
      <c r="A110" s="66">
        <v>45863.0</v>
      </c>
      <c r="B110" s="68">
        <v>269841.04</v>
      </c>
      <c r="C110" s="68">
        <v>246504.43999999997</v>
      </c>
      <c r="D110" s="68">
        <v>23336.600000000006</v>
      </c>
      <c r="E110" s="69">
        <v>0.09467010005986103</v>
      </c>
      <c r="F110" s="70">
        <v>1101167.894430804</v>
      </c>
      <c r="G110" s="37">
        <v>1155528.0773445063</v>
      </c>
      <c r="H110" s="22">
        <v>-54360.182913702214</v>
      </c>
      <c r="I110" s="69">
        <v>-0.04704358464281211</v>
      </c>
      <c r="J110" s="22">
        <v>37462.208212900005</v>
      </c>
      <c r="K110" s="37">
        <v>35220.690161884995</v>
      </c>
      <c r="L110" s="22">
        <v>2241.5180510150094</v>
      </c>
      <c r="M110" s="69">
        <v>0.06364208198965754</v>
      </c>
      <c r="N110" s="70">
        <v>1371008.934430804</v>
      </c>
      <c r="O110" s="37">
        <v>1402032.5173445062</v>
      </c>
      <c r="P110" s="22">
        <v>-31023.58291370212</v>
      </c>
      <c r="Q110" s="69">
        <v>-0.022127577306453466</v>
      </c>
    </row>
    <row r="111" ht="22.5" customHeight="1">
      <c r="A111" s="66">
        <v>45866.0</v>
      </c>
      <c r="B111" s="68">
        <v>269422.68</v>
      </c>
      <c r="C111" s="68">
        <v>246504.43999999997</v>
      </c>
      <c r="D111" s="68">
        <v>22918.24000000002</v>
      </c>
      <c r="E111" s="69">
        <v>0.09297292981822163</v>
      </c>
      <c r="F111" s="70">
        <v>1156571.2392222676</v>
      </c>
      <c r="G111" s="37">
        <v>1197077.6096403892</v>
      </c>
      <c r="H111" s="22">
        <v>-40506.37041812157</v>
      </c>
      <c r="I111" s="69">
        <v>-0.03383771452403155</v>
      </c>
      <c r="J111" s="22">
        <v>39223.1011763</v>
      </c>
      <c r="K111" s="37">
        <v>36486.486761885</v>
      </c>
      <c r="L111" s="22">
        <v>2736.614414415002</v>
      </c>
      <c r="M111" s="69">
        <v>0.07500350560673222</v>
      </c>
      <c r="N111" s="70">
        <v>1425993.9192222676</v>
      </c>
      <c r="O111" s="37">
        <v>1443582.0496403892</v>
      </c>
      <c r="P111" s="22">
        <v>-17588.130418121582</v>
      </c>
      <c r="Q111" s="69">
        <v>-0.012183672152547866</v>
      </c>
    </row>
    <row r="112" ht="22.5" customHeight="1">
      <c r="A112" s="66">
        <v>45868.0</v>
      </c>
      <c r="B112" s="68">
        <v>267422.75</v>
      </c>
      <c r="C112" s="68">
        <v>246504.43999999997</v>
      </c>
      <c r="D112" s="68">
        <v>20918.310000000027</v>
      </c>
      <c r="E112" s="69">
        <v>0.08485976966581223</v>
      </c>
      <c r="F112" s="70">
        <v>1169068.4646918878</v>
      </c>
      <c r="G112" s="37">
        <v>1192836.077344506</v>
      </c>
      <c r="H112" s="22">
        <v>-23767.612652618205</v>
      </c>
      <c r="I112" s="69">
        <v>-0.019925296613705474</v>
      </c>
      <c r="J112" s="22">
        <v>39370.27444</v>
      </c>
      <c r="K112" s="37">
        <v>36486.486761885</v>
      </c>
      <c r="L112" s="22">
        <v>2883.7876781150044</v>
      </c>
      <c r="M112" s="69">
        <v>0.07903714317399024</v>
      </c>
      <c r="N112" s="70">
        <v>1436491.2146918878</v>
      </c>
      <c r="O112" s="37">
        <v>1439340.517344506</v>
      </c>
      <c r="P112" s="22">
        <v>-2849.3026526181493</v>
      </c>
      <c r="Q112" s="69">
        <v>-0.001979588998074574</v>
      </c>
    </row>
    <row r="113" ht="22.5" customHeight="1">
      <c r="A113" s="66">
        <v>45869.0</v>
      </c>
      <c r="B113" s="68">
        <v>269963.53</v>
      </c>
      <c r="C113" s="68">
        <v>246504.43999999997</v>
      </c>
      <c r="D113" s="68">
        <v>23459.090000000055</v>
      </c>
      <c r="E113" s="69">
        <v>0.09516700794517152</v>
      </c>
      <c r="F113" s="70">
        <v>1172890.5473291464</v>
      </c>
      <c r="G113" s="37">
        <v>1192836.077344506</v>
      </c>
      <c r="H113" s="22">
        <v>-19945.530015359633</v>
      </c>
      <c r="I113" s="69">
        <v>-0.016721098895468026</v>
      </c>
      <c r="J113" s="22">
        <v>39331.03131980001</v>
      </c>
      <c r="K113" s="37">
        <v>36486.486761885</v>
      </c>
      <c r="L113" s="22">
        <v>2844.544557915011</v>
      </c>
      <c r="M113" s="69">
        <v>0.07796159099884939</v>
      </c>
      <c r="N113" s="70">
        <v>1442854.0773291464</v>
      </c>
      <c r="O113" s="37">
        <v>1439340.517344506</v>
      </c>
      <c r="P113" s="22">
        <v>3513.559984640451</v>
      </c>
      <c r="Q113" s="69">
        <v>0.0024410901675461423</v>
      </c>
    </row>
    <row r="114" ht="22.5" customHeight="1">
      <c r="A114" s="66">
        <v>45870.0</v>
      </c>
      <c r="B114" s="68">
        <v>272725.3</v>
      </c>
      <c r="C114" s="68">
        <v>246504.43999999997</v>
      </c>
      <c r="D114" s="68">
        <v>26220.860000000015</v>
      </c>
      <c r="E114" s="69">
        <v>0.10637074123289632</v>
      </c>
      <c r="F114" s="70">
        <v>1163550.1348650034</v>
      </c>
      <c r="G114" s="37">
        <v>1192836.077344506</v>
      </c>
      <c r="H114" s="22">
        <v>-29285.942479502643</v>
      </c>
      <c r="I114" s="69">
        <v>-0.02455152307658154</v>
      </c>
      <c r="J114" s="22">
        <v>38891.3074024</v>
      </c>
      <c r="K114" s="37">
        <v>36486.486761885</v>
      </c>
      <c r="L114" s="22">
        <v>2404.820640515005</v>
      </c>
      <c r="M114" s="69">
        <v>0.06590989853885194</v>
      </c>
      <c r="N114" s="70">
        <v>1436275.4348650035</v>
      </c>
      <c r="O114" s="37">
        <v>1439340.517344506</v>
      </c>
      <c r="P114" s="22">
        <v>-3065.08247950254</v>
      </c>
      <c r="Q114" s="69">
        <v>-0.002129504757607621</v>
      </c>
    </row>
    <row r="115" ht="22.5" customHeight="1">
      <c r="A115" s="66">
        <v>45871.0</v>
      </c>
      <c r="B115" s="68">
        <v>270404.0</v>
      </c>
      <c r="C115" s="68">
        <v>246504.43999999997</v>
      </c>
      <c r="D115" s="68">
        <v>23899.560000000027</v>
      </c>
      <c r="E115" s="69">
        <v>0.09695387231159013</v>
      </c>
      <c r="F115" s="70">
        <v>1147730.087000356</v>
      </c>
      <c r="G115" s="37">
        <v>1192836.077344506</v>
      </c>
      <c r="H115" s="22">
        <v>-45105.99034414999</v>
      </c>
      <c r="I115" s="69">
        <v>-0.037814072864533935</v>
      </c>
      <c r="J115" s="22">
        <v>38590.96688400001</v>
      </c>
      <c r="K115" s="37">
        <v>36486.486761885</v>
      </c>
      <c r="L115" s="22">
        <v>2104.480122115012</v>
      </c>
      <c r="M115" s="69">
        <v>0.05767834365224284</v>
      </c>
      <c r="N115" s="70">
        <v>1418134.087000356</v>
      </c>
      <c r="O115" s="37">
        <v>1439340.517344506</v>
      </c>
      <c r="P115" s="22">
        <v>-21206.430344149936</v>
      </c>
      <c r="Q115" s="69">
        <v>-0.014733435270254523</v>
      </c>
    </row>
    <row r="116" ht="22.5" customHeight="1">
      <c r="A116" s="66">
        <v>45874.0</v>
      </c>
      <c r="B116" s="68">
        <v>268813.83999999997</v>
      </c>
      <c r="C116" s="68">
        <v>246504.43999999997</v>
      </c>
      <c r="D116" s="68">
        <v>22309.399999999994</v>
      </c>
      <c r="E116" s="69">
        <v>0.09050303515831194</v>
      </c>
      <c r="F116" s="70">
        <v>1181371.5911995259</v>
      </c>
      <c r="G116" s="37">
        <v>1192836.077344506</v>
      </c>
      <c r="H116" s="22">
        <v>-11464.486144980183</v>
      </c>
      <c r="I116" s="69">
        <v>-0.009611116198381963</v>
      </c>
      <c r="J116" s="22">
        <v>39507.98075049999</v>
      </c>
      <c r="K116" s="37">
        <v>36486.486761885</v>
      </c>
      <c r="L116" s="22">
        <v>3021.493988614995</v>
      </c>
      <c r="M116" s="69">
        <v>0.08281131609994713</v>
      </c>
      <c r="N116" s="70">
        <v>1450185.431199526</v>
      </c>
      <c r="O116" s="37">
        <v>1439340.517344506</v>
      </c>
      <c r="P116" s="22">
        <v>10844.913855019957</v>
      </c>
      <c r="Q116" s="69">
        <v>0.007534640847204212</v>
      </c>
    </row>
    <row r="117" ht="22.5" customHeight="1">
      <c r="A117" s="66">
        <v>45875.0</v>
      </c>
      <c r="B117" s="68">
        <v>272229.7</v>
      </c>
      <c r="C117" s="68">
        <v>246504.43999999997</v>
      </c>
      <c r="D117" s="68">
        <v>25725.26000000004</v>
      </c>
      <c r="E117" s="69">
        <v>0.10436022977922849</v>
      </c>
      <c r="F117" s="70">
        <v>1179907.3146676098</v>
      </c>
      <c r="G117" s="37">
        <v>1192836.077344506</v>
      </c>
      <c r="H117" s="22">
        <v>-12928.762676896295</v>
      </c>
      <c r="I117" s="69">
        <v>-0.01083867508910221</v>
      </c>
      <c r="J117" s="22">
        <v>39411.957948400006</v>
      </c>
      <c r="K117" s="37">
        <v>36486.486761885</v>
      </c>
      <c r="L117" s="22">
        <v>2925.4711865150093</v>
      </c>
      <c r="M117" s="69">
        <v>0.0801795800622562</v>
      </c>
      <c r="N117" s="70">
        <v>1452137.0146676097</v>
      </c>
      <c r="O117" s="37">
        <v>1439340.517344506</v>
      </c>
      <c r="P117" s="22">
        <v>12796.497323103715</v>
      </c>
      <c r="Q117" s="69">
        <v>0.008890528105685832</v>
      </c>
    </row>
    <row r="118" ht="22.5" customHeight="1">
      <c r="A118" s="66">
        <v>45876.0</v>
      </c>
      <c r="B118" s="68">
        <v>270057.57</v>
      </c>
      <c r="C118" s="68">
        <v>246504.43999999997</v>
      </c>
      <c r="D118" s="68">
        <v>23553.130000000034</v>
      </c>
      <c r="E118" s="69">
        <v>0.09554850208783272</v>
      </c>
      <c r="F118" s="70">
        <v>1211027.406834513</v>
      </c>
      <c r="G118" s="37">
        <v>1192836.077344506</v>
      </c>
      <c r="H118" s="22">
        <v>18191.3294900069</v>
      </c>
      <c r="I118" s="69">
        <v>0.015250485658100209</v>
      </c>
      <c r="J118" s="22">
        <v>40453.2061809</v>
      </c>
      <c r="K118" s="37">
        <v>36486.486761885</v>
      </c>
      <c r="L118" s="22">
        <v>3966.719419015004</v>
      </c>
      <c r="M118" s="69">
        <v>0.10871749436722342</v>
      </c>
      <c r="N118" s="70">
        <v>1481084.976834513</v>
      </c>
      <c r="O118" s="37">
        <v>1439340.517344506</v>
      </c>
      <c r="P118" s="22">
        <v>41744.45949000702</v>
      </c>
      <c r="Q118" s="69">
        <v>0.029002490367618473</v>
      </c>
    </row>
    <row r="119" ht="22.5" customHeight="1">
      <c r="A119" s="66">
        <v>45877.0</v>
      </c>
      <c r="B119" s="68">
        <v>276890.43000000005</v>
      </c>
      <c r="C119" s="68">
        <v>246504.43999999997</v>
      </c>
      <c r="D119" s="68">
        <v>30385.990000000078</v>
      </c>
      <c r="E119" s="69">
        <v>0.12326751599281571</v>
      </c>
      <c r="F119" s="70">
        <v>1209953.3999626886</v>
      </c>
      <c r="G119" s="37">
        <v>1192836.077344506</v>
      </c>
      <c r="H119" s="22">
        <v>17117.322618182516</v>
      </c>
      <c r="I119" s="69">
        <v>0.01435010471538481</v>
      </c>
      <c r="J119" s="22">
        <v>40605.7333464</v>
      </c>
      <c r="K119" s="37">
        <v>36486.486761885</v>
      </c>
      <c r="L119" s="22">
        <v>4119.246584515</v>
      </c>
      <c r="M119" s="69">
        <v>0.11289786850122557</v>
      </c>
      <c r="N119" s="70">
        <v>1486843.8299626885</v>
      </c>
      <c r="O119" s="37">
        <v>1439340.517344506</v>
      </c>
      <c r="P119" s="22">
        <v>47503.31261818251</v>
      </c>
      <c r="Q119" s="69">
        <v>0.033003526299546664</v>
      </c>
    </row>
    <row r="120" ht="22.5" customHeight="1">
      <c r="A120" s="66">
        <v>45880.0</v>
      </c>
      <c r="B120" s="68">
        <v>276927.78</v>
      </c>
      <c r="C120" s="68">
        <v>246504.43999999997</v>
      </c>
      <c r="D120" s="68">
        <v>30423.340000000055</v>
      </c>
      <c r="E120" s="69">
        <v>0.12341903456181177</v>
      </c>
      <c r="F120" s="70">
        <v>1230982.6762560287</v>
      </c>
      <c r="G120" s="37">
        <v>1192836.077344506</v>
      </c>
      <c r="H120" s="22">
        <v>38146.598911522655</v>
      </c>
      <c r="I120" s="69">
        <v>0.03197974946938618</v>
      </c>
      <c r="J120" s="22">
        <v>41213.42315829999</v>
      </c>
      <c r="K120" s="37">
        <v>36486.486761885</v>
      </c>
      <c r="L120" s="22">
        <v>4726.936396414996</v>
      </c>
      <c r="M120" s="69">
        <v>0.12955307062758675</v>
      </c>
      <c r="N120" s="70">
        <v>1507910.4562560287</v>
      </c>
      <c r="O120" s="37">
        <v>1439340.517344506</v>
      </c>
      <c r="P120" s="22">
        <v>68569.93891152274</v>
      </c>
      <c r="Q120" s="74">
        <v>0.04763983094009611</v>
      </c>
    </row>
    <row r="121" ht="22.5" customHeight="1">
      <c r="A121" s="66">
        <v>45881.0</v>
      </c>
      <c r="B121" s="68">
        <v>278908.12</v>
      </c>
      <c r="C121" s="68">
        <v>246504.43999999997</v>
      </c>
      <c r="D121" s="68">
        <v>32403.680000000022</v>
      </c>
      <c r="E121" s="69">
        <v>0.13145272352903675</v>
      </c>
      <c r="F121" s="70">
        <v>1248015.0662782383</v>
      </c>
      <c r="G121" s="37">
        <v>1192836.077344506</v>
      </c>
      <c r="H121" s="22">
        <v>55178.98893373227</v>
      </c>
      <c r="I121" s="69">
        <v>0.046258651948700144</v>
      </c>
      <c r="J121" s="22">
        <v>41657.99023580001</v>
      </c>
      <c r="K121" s="37">
        <v>36486.486761885</v>
      </c>
      <c r="L121" s="22">
        <v>5171.503473915014</v>
      </c>
      <c r="M121" s="69">
        <v>0.1417375015485826</v>
      </c>
      <c r="N121" s="70">
        <v>1526923.1862782384</v>
      </c>
      <c r="O121" s="37">
        <v>1439340.517344506</v>
      </c>
      <c r="P121" s="22">
        <v>87582.66893373244</v>
      </c>
      <c r="Q121" s="74">
        <v>0.06084916521027076</v>
      </c>
    </row>
    <row r="122" ht="22.5" customHeight="1">
      <c r="A122" s="66">
        <v>45882.0</v>
      </c>
      <c r="B122" s="68">
        <v>279114.42</v>
      </c>
      <c r="C122" s="68">
        <v>246504.43999999997</v>
      </c>
      <c r="D122" s="68">
        <v>32609.98000000001</v>
      </c>
      <c r="E122" s="69">
        <v>0.13228962529031937</v>
      </c>
      <c r="F122" s="70">
        <v>1257541.0443758594</v>
      </c>
      <c r="G122" s="37">
        <v>1192836.077344506</v>
      </c>
      <c r="H122" s="22">
        <v>64704.967031353386</v>
      </c>
      <c r="I122" s="69">
        <v>0.05424464288119094</v>
      </c>
      <c r="J122" s="22">
        <v>42063.301827499985</v>
      </c>
      <c r="K122" s="37">
        <v>36486.486761885</v>
      </c>
      <c r="L122" s="22">
        <v>5576.815065614988</v>
      </c>
      <c r="M122" s="69">
        <v>0.15284604138540178</v>
      </c>
      <c r="N122" s="70">
        <v>1536655.4643758594</v>
      </c>
      <c r="O122" s="37">
        <v>1439340.517344506</v>
      </c>
      <c r="P122" s="22">
        <v>97314.94703135337</v>
      </c>
      <c r="Q122" s="74">
        <v>0.06761078831498012</v>
      </c>
    </row>
    <row r="123" ht="22.5" customHeight="1">
      <c r="A123" s="66">
        <v>45883.0</v>
      </c>
      <c r="B123" s="68">
        <v>281309.9</v>
      </c>
      <c r="C123" s="68">
        <v>246504.43999999997</v>
      </c>
      <c r="D123" s="68">
        <v>34805.46000000005</v>
      </c>
      <c r="E123" s="69">
        <v>0.14119607744185075</v>
      </c>
      <c r="F123" s="70">
        <v>1262643.2691811714</v>
      </c>
      <c r="G123" s="37">
        <v>1192836.077344506</v>
      </c>
      <c r="H123" s="22">
        <v>69807.19183666538</v>
      </c>
      <c r="I123" s="69">
        <v>0.05852203262670449</v>
      </c>
      <c r="J123" s="22">
        <v>42155.2900317</v>
      </c>
      <c r="K123" s="37">
        <v>36486.486761885</v>
      </c>
      <c r="L123" s="22">
        <v>5668.8032698150055</v>
      </c>
      <c r="M123" s="69">
        <v>0.15536719955555783</v>
      </c>
      <c r="N123" s="70">
        <v>1543953.1691811713</v>
      </c>
      <c r="O123" s="37">
        <v>1439340.517344506</v>
      </c>
      <c r="P123" s="22">
        <v>104612.65183666535</v>
      </c>
      <c r="Q123" s="74">
        <v>0.07268096088177188</v>
      </c>
    </row>
    <row r="124" ht="22.5" customHeight="1">
      <c r="A124" s="66">
        <v>45884.0</v>
      </c>
      <c r="B124" s="68">
        <v>280374.53</v>
      </c>
      <c r="C124" s="68">
        <v>246504.43999999997</v>
      </c>
      <c r="D124" s="68">
        <v>33870.090000000055</v>
      </c>
      <c r="E124" s="69">
        <v>0.13740154132720717</v>
      </c>
      <c r="F124" s="70">
        <v>1263428.7272990977</v>
      </c>
      <c r="G124" s="37">
        <v>1192836.077344506</v>
      </c>
      <c r="H124" s="22">
        <v>70592.64995459164</v>
      </c>
      <c r="I124" s="69">
        <v>0.05918051213855397</v>
      </c>
      <c r="J124" s="22">
        <v>41983.5820246</v>
      </c>
      <c r="K124" s="37">
        <v>36486.486761885</v>
      </c>
      <c r="L124" s="22">
        <v>5497.095262715004</v>
      </c>
      <c r="M124" s="69">
        <v>0.1506611282853753</v>
      </c>
      <c r="N124" s="70">
        <v>1543803.2572990977</v>
      </c>
      <c r="O124" s="37">
        <v>1439340.517344506</v>
      </c>
      <c r="P124" s="22">
        <v>104462.73995459173</v>
      </c>
      <c r="Q124" s="74">
        <v>0.07257680770865745</v>
      </c>
    </row>
    <row r="125" ht="22.5" customHeight="1">
      <c r="A125" s="66">
        <v>45885.0</v>
      </c>
      <c r="B125" s="68">
        <v>280349.43</v>
      </c>
      <c r="C125" s="68">
        <v>246504.43999999997</v>
      </c>
      <c r="D125" s="68">
        <v>33844.99000000002</v>
      </c>
      <c r="E125" s="69">
        <v>0.13729971760346396</v>
      </c>
      <c r="F125" s="70">
        <v>1251790.6107858422</v>
      </c>
      <c r="G125" s="37">
        <v>1192836.077344506</v>
      </c>
      <c r="H125" s="22">
        <v>58954.53344133613</v>
      </c>
      <c r="I125" s="69">
        <v>0.04942383497704129</v>
      </c>
      <c r="J125" s="22">
        <v>41699.94372850002</v>
      </c>
      <c r="K125" s="37">
        <v>36486.486761885</v>
      </c>
      <c r="L125" s="22">
        <v>5213.45696661502</v>
      </c>
      <c r="M125" s="69">
        <v>0.14288733800649647</v>
      </c>
      <c r="N125" s="70">
        <v>1532140.040785842</v>
      </c>
      <c r="O125" s="37">
        <v>1439340.517344506</v>
      </c>
      <c r="P125" s="22">
        <v>92799.52344133612</v>
      </c>
      <c r="Q125" s="74">
        <v>0.0644736407563552</v>
      </c>
    </row>
    <row r="126" ht="22.5" customHeight="1">
      <c r="A126" s="66">
        <v>45888.0</v>
      </c>
      <c r="B126" s="68">
        <v>280570.20999999996</v>
      </c>
      <c r="C126" s="68">
        <v>246504.43999999997</v>
      </c>
      <c r="D126" s="68">
        <v>34065.76999999999</v>
      </c>
      <c r="E126" s="69">
        <v>0.1381953607001967</v>
      </c>
      <c r="F126" s="70">
        <v>1256714.937683729</v>
      </c>
      <c r="G126" s="37">
        <v>1192836.077344506</v>
      </c>
      <c r="H126" s="22">
        <v>63878.86033922294</v>
      </c>
      <c r="I126" s="69">
        <v>0.0535520861185136</v>
      </c>
      <c r="J126" s="22">
        <v>41822.7567672</v>
      </c>
      <c r="K126" s="37">
        <v>36486.486761885</v>
      </c>
      <c r="L126" s="22">
        <v>5336.270005315004</v>
      </c>
      <c r="M126" s="69">
        <v>0.14625332496768229</v>
      </c>
      <c r="N126" s="70">
        <v>1537285.147683729</v>
      </c>
      <c r="O126" s="37">
        <v>1439340.517344506</v>
      </c>
      <c r="P126" s="22">
        <v>97944.63033922296</v>
      </c>
      <c r="Q126" s="74">
        <v>0.06804826874458084</v>
      </c>
    </row>
    <row r="127" ht="22.5" customHeight="1">
      <c r="A127" s="66">
        <v>45889.0</v>
      </c>
      <c r="B127" s="68">
        <v>280025.74</v>
      </c>
      <c r="C127" s="68">
        <v>246504.43999999997</v>
      </c>
      <c r="D127" s="68">
        <v>33521.30000000002</v>
      </c>
      <c r="E127" s="69">
        <v>0.1359865972393845</v>
      </c>
      <c r="F127" s="70">
        <v>1233218.061825725</v>
      </c>
      <c r="G127" s="37">
        <v>1192836.077344506</v>
      </c>
      <c r="H127" s="22">
        <v>40381.98448121897</v>
      </c>
      <c r="I127" s="69">
        <v>0.03385375849053578</v>
      </c>
      <c r="J127" s="22">
        <v>40932.487008000004</v>
      </c>
      <c r="K127" s="37">
        <v>36486.486761885</v>
      </c>
      <c r="L127" s="22">
        <v>4446.000246115007</v>
      </c>
      <c r="M127" s="69">
        <v>0.12185333915896357</v>
      </c>
      <c r="N127" s="70">
        <v>1513243.801825725</v>
      </c>
      <c r="O127" s="37">
        <v>1439340.517344506</v>
      </c>
      <c r="P127" s="22">
        <v>73903.28448121902</v>
      </c>
      <c r="Q127" s="74">
        <v>0.05134524012258475</v>
      </c>
    </row>
    <row r="128" ht="22.5" customHeight="1">
      <c r="A128" s="66">
        <v>45890.0</v>
      </c>
      <c r="B128" s="68">
        <v>272705.65</v>
      </c>
      <c r="C128" s="68">
        <v>246504.43999999997</v>
      </c>
      <c r="D128" s="68">
        <v>26201.21000000005</v>
      </c>
      <c r="E128" s="69">
        <v>0.10629102664438844</v>
      </c>
      <c r="F128" s="70">
        <v>1226520.739669342</v>
      </c>
      <c r="G128" s="37">
        <v>1192836.077344506</v>
      </c>
      <c r="H128" s="22">
        <v>33684.66232483601</v>
      </c>
      <c r="I128" s="69">
        <v>0.028239137769730163</v>
      </c>
      <c r="J128" s="22">
        <v>40484.977725200006</v>
      </c>
      <c r="K128" s="37">
        <v>36486.486761885</v>
      </c>
      <c r="L128" s="22">
        <v>3998.490963315009</v>
      </c>
      <c r="M128" s="69">
        <v>0.10958827001924358</v>
      </c>
      <c r="N128" s="70">
        <v>1499226.389669342</v>
      </c>
      <c r="O128" s="37">
        <v>1439340.517344506</v>
      </c>
      <c r="P128" s="22">
        <v>59885.872324835975</v>
      </c>
      <c r="Q128" s="74">
        <v>0.04160646601911944</v>
      </c>
    </row>
    <row r="129" ht="22.5" customHeight="1">
      <c r="A129" s="66">
        <v>45891.0</v>
      </c>
      <c r="B129" s="68">
        <v>274210.95999999996</v>
      </c>
      <c r="C129" s="68">
        <v>246504.43999999997</v>
      </c>
      <c r="D129" s="68">
        <v>27706.51999999999</v>
      </c>
      <c r="E129" s="69">
        <v>0.11239765093074994</v>
      </c>
      <c r="F129" s="70">
        <v>1226425.627619322</v>
      </c>
      <c r="G129" s="37">
        <v>1192836.077344506</v>
      </c>
      <c r="H129" s="22">
        <v>33589.550274815876</v>
      </c>
      <c r="I129" s="69">
        <v>0.028159401708902868</v>
      </c>
      <c r="J129" s="22">
        <v>40172.491242899996</v>
      </c>
      <c r="K129" s="37">
        <v>36486.486761885</v>
      </c>
      <c r="L129" s="22">
        <v>3686.0044810149993</v>
      </c>
      <c r="M129" s="69">
        <v>0.10102382575418367</v>
      </c>
      <c r="N129" s="70">
        <v>1500636.587619322</v>
      </c>
      <c r="O129" s="37">
        <v>1439340.517344506</v>
      </c>
      <c r="P129" s="22">
        <v>61296.070274815895</v>
      </c>
      <c r="Q129" s="74">
        <v>0.042586218852438996</v>
      </c>
    </row>
    <row r="130" ht="22.5" customHeight="1">
      <c r="A130" s="66">
        <v>45894.0</v>
      </c>
      <c r="B130" s="68">
        <v>272944.39</v>
      </c>
      <c r="C130" s="68">
        <v>246504.43999999997</v>
      </c>
      <c r="D130" s="68">
        <v>26439.95000000004</v>
      </c>
      <c r="E130" s="69">
        <v>0.10725952846934539</v>
      </c>
      <c r="F130" s="70">
        <v>1260388.6540953778</v>
      </c>
      <c r="G130" s="37">
        <v>1192836.077344506</v>
      </c>
      <c r="H130" s="22">
        <v>67552.57675087173</v>
      </c>
      <c r="I130" s="69">
        <v>0.05663190276844862</v>
      </c>
      <c r="J130" s="22">
        <v>41394.9288488</v>
      </c>
      <c r="K130" s="37">
        <v>36486.486761885</v>
      </c>
      <c r="L130" s="22">
        <v>4908.442086915005</v>
      </c>
      <c r="M130" s="69">
        <v>0.13452767099633522</v>
      </c>
      <c r="N130" s="70">
        <v>1533333.044095378</v>
      </c>
      <c r="O130" s="37">
        <v>1439340.517344506</v>
      </c>
      <c r="P130" s="22">
        <v>93992.52675087191</v>
      </c>
      <c r="Q130" s="74">
        <v>0.06530249487055523</v>
      </c>
    </row>
    <row r="131" ht="22.5" customHeight="1">
      <c r="A131" s="66">
        <v>45895.0</v>
      </c>
      <c r="B131" s="68">
        <v>277723.0</v>
      </c>
      <c r="C131" s="68">
        <v>246504.43999999997</v>
      </c>
      <c r="D131" s="68">
        <v>31218.560000000027</v>
      </c>
      <c r="E131" s="69">
        <v>0.1266450210795393</v>
      </c>
      <c r="F131" s="70">
        <v>1270406.6202024992</v>
      </c>
      <c r="G131" s="37">
        <v>1192836.077344506</v>
      </c>
      <c r="H131" s="22">
        <v>77570.54285799316</v>
      </c>
      <c r="I131" s="69">
        <v>0.06503034602263276</v>
      </c>
      <c r="J131" s="22">
        <v>41586.544739720004</v>
      </c>
      <c r="K131" s="37">
        <v>36486.486761885</v>
      </c>
      <c r="L131" s="22">
        <v>5100.0579778350075</v>
      </c>
      <c r="M131" s="69">
        <v>0.13977936574487348</v>
      </c>
      <c r="N131" s="70">
        <v>1548129.6202024992</v>
      </c>
      <c r="O131" s="37">
        <v>1439340.517344506</v>
      </c>
      <c r="P131" s="22">
        <v>108789.10285799322</v>
      </c>
      <c r="Q131" s="74">
        <v>0.0755826029678525</v>
      </c>
    </row>
    <row r="132" ht="22.5" customHeight="1">
      <c r="A132" s="66">
        <v>45896.0</v>
      </c>
      <c r="B132" s="68">
        <v>256802.65</v>
      </c>
      <c r="C132" s="68">
        <v>224328.81999999998</v>
      </c>
      <c r="D132" s="68">
        <v>32473.830000000016</v>
      </c>
      <c r="E132" s="69">
        <v>0.14475995549747028</v>
      </c>
      <c r="F132" s="70">
        <v>1281913.225203996</v>
      </c>
      <c r="G132" s="37">
        <v>1192836.077344506</v>
      </c>
      <c r="H132" s="22">
        <v>89077.14785949001</v>
      </c>
      <c r="I132" s="69">
        <v>0.07467677206560831</v>
      </c>
      <c r="J132" s="22">
        <v>41944.814465200005</v>
      </c>
      <c r="K132" s="37">
        <v>36486.486761885</v>
      </c>
      <c r="L132" s="22">
        <v>5458.327703315008</v>
      </c>
      <c r="M132" s="69">
        <v>0.14959860999872862</v>
      </c>
      <c r="N132" s="70">
        <v>1538715.875203996</v>
      </c>
      <c r="O132" s="37">
        <v>1417164.897344506</v>
      </c>
      <c r="P132" s="22">
        <v>121550.97785948985</v>
      </c>
      <c r="Q132" s="74">
        <v>0.08577052542527193</v>
      </c>
    </row>
    <row r="133" ht="22.5" customHeight="1">
      <c r="A133" s="66">
        <v>45897.0</v>
      </c>
      <c r="B133" s="68">
        <v>258099.4</v>
      </c>
      <c r="C133" s="68">
        <v>224328.81999999998</v>
      </c>
      <c r="D133" s="68">
        <v>33770.580000000016</v>
      </c>
      <c r="E133" s="69">
        <v>0.15054053242022145</v>
      </c>
      <c r="F133" s="70">
        <v>1277120.3098624574</v>
      </c>
      <c r="G133" s="37">
        <v>1192836.077344506</v>
      </c>
      <c r="H133" s="22">
        <v>84284.2325179514</v>
      </c>
      <c r="I133" s="69">
        <v>0.07065868824623843</v>
      </c>
      <c r="J133" s="22">
        <v>41749.61214480001</v>
      </c>
      <c r="K133" s="37">
        <v>36486.486761885</v>
      </c>
      <c r="L133" s="22">
        <v>5263.1253829150155</v>
      </c>
      <c r="M133" s="69">
        <v>0.14424862051703624</v>
      </c>
      <c r="N133" s="70">
        <v>1535219.7098624574</v>
      </c>
      <c r="O133" s="37">
        <v>1417164.897344506</v>
      </c>
      <c r="P133" s="22">
        <v>118054.81251795124</v>
      </c>
      <c r="Q133" s="74">
        <v>0.08330351163732831</v>
      </c>
    </row>
    <row r="134" ht="22.5" customHeight="1">
      <c r="A134" s="66">
        <v>45898.0</v>
      </c>
      <c r="B134" s="68">
        <v>255729.4</v>
      </c>
      <c r="C134" s="68">
        <v>224328.81999999998</v>
      </c>
      <c r="D134" s="68">
        <v>31400.580000000016</v>
      </c>
      <c r="E134" s="69">
        <v>0.13997568390900472</v>
      </c>
      <c r="F134" s="70">
        <v>1277349.561657252</v>
      </c>
      <c r="G134" s="37">
        <v>1192836.077344506</v>
      </c>
      <c r="H134" s="22">
        <v>84513.48431274598</v>
      </c>
      <c r="I134" s="69">
        <v>0.07085087877362836</v>
      </c>
      <c r="J134" s="22">
        <v>41863.7052729</v>
      </c>
      <c r="K134" s="37">
        <v>36486.486761885</v>
      </c>
      <c r="L134" s="22">
        <v>5377.218511015002</v>
      </c>
      <c r="M134" s="69">
        <v>0.14737561733765567</v>
      </c>
      <c r="N134" s="70">
        <v>1533078.961657252</v>
      </c>
      <c r="O134" s="37">
        <v>1417164.897344506</v>
      </c>
      <c r="P134" s="22">
        <v>115914.06431274582</v>
      </c>
      <c r="Q134" s="74">
        <v>0.08179292651825235</v>
      </c>
    </row>
    <row r="135" ht="22.5" customHeight="1">
      <c r="A135" s="66">
        <v>45901.0</v>
      </c>
      <c r="B135" s="68">
        <v>255815.3</v>
      </c>
      <c r="C135" s="68">
        <v>224328.81999999998</v>
      </c>
      <c r="D135" s="68">
        <v>31486.48000000001</v>
      </c>
      <c r="E135" s="69">
        <v>0.14035860394576147</v>
      </c>
      <c r="F135" s="70">
        <v>1255385.205097414</v>
      </c>
      <c r="G135" s="37">
        <v>1192836.077344506</v>
      </c>
      <c r="H135" s="22">
        <v>62549.12775290804</v>
      </c>
      <c r="I135" s="69">
        <v>0.05243732055133261</v>
      </c>
      <c r="J135" s="22">
        <v>41058.54067440001</v>
      </c>
      <c r="K135" s="37">
        <v>36486.486761885</v>
      </c>
      <c r="L135" s="22">
        <v>4572.05391251501</v>
      </c>
      <c r="M135" s="69">
        <v>0.12530814332310916</v>
      </c>
      <c r="N135" s="70">
        <v>1511200.5050974141</v>
      </c>
      <c r="O135" s="37">
        <v>1417164.897344506</v>
      </c>
      <c r="P135" s="22">
        <v>94035.60775290802</v>
      </c>
      <c r="Q135" s="74">
        <v>0.06635473961365584</v>
      </c>
    </row>
    <row r="136" ht="22.5" customHeight="1">
      <c r="A136" s="66">
        <v>45902.0</v>
      </c>
      <c r="B136" s="68">
        <v>253387.1</v>
      </c>
      <c r="C136" s="68">
        <v>224328.81999999998</v>
      </c>
      <c r="D136" s="68">
        <v>29058.280000000028</v>
      </c>
      <c r="E136" s="69">
        <v>0.12953431485085168</v>
      </c>
      <c r="F136" s="70">
        <v>1258309.0698971462</v>
      </c>
      <c r="G136" s="37">
        <v>1192836.077344506</v>
      </c>
      <c r="H136" s="22">
        <v>65472.99255264015</v>
      </c>
      <c r="I136" s="69">
        <v>0.05488850798208271</v>
      </c>
      <c r="J136" s="22">
        <v>41056.54067440001</v>
      </c>
      <c r="K136" s="37">
        <v>36486.486761885</v>
      </c>
      <c r="L136" s="22">
        <v>4570.05391251501</v>
      </c>
      <c r="M136" s="69">
        <v>0.12525332850870807</v>
      </c>
      <c r="N136" s="70">
        <v>1511696.1698971463</v>
      </c>
      <c r="O136" s="37">
        <v>1417164.897344506</v>
      </c>
      <c r="P136" s="22">
        <v>94531.27255264018</v>
      </c>
      <c r="Q136" s="74">
        <v>0.06670449764157549</v>
      </c>
    </row>
    <row r="137" ht="22.5" customHeight="1">
      <c r="A137" s="66">
        <v>45903.0</v>
      </c>
      <c r="B137" s="68">
        <v>253153.25000000003</v>
      </c>
      <c r="C137" s="68">
        <v>224328.81999999998</v>
      </c>
      <c r="D137" s="68">
        <v>28824.43000000005</v>
      </c>
      <c r="E137" s="69">
        <v>0.12849187188699185</v>
      </c>
      <c r="F137" s="70">
        <v>1268494.6805387358</v>
      </c>
      <c r="G137" s="37">
        <v>1197325.3626053059</v>
      </c>
      <c r="H137" s="22">
        <v>71169.31793342996</v>
      </c>
      <c r="I137" s="69">
        <v>0.05944024920558764</v>
      </c>
      <c r="J137" s="22">
        <v>41348.002038520004</v>
      </c>
      <c r="K137" s="37">
        <v>36623.2517675434</v>
      </c>
      <c r="L137" s="22">
        <v>4724.750270976605</v>
      </c>
      <c r="M137" s="69">
        <v>0.1290095784220837</v>
      </c>
      <c r="N137" s="70">
        <v>1521647.9305387358</v>
      </c>
      <c r="O137" s="37">
        <v>1421654.182605306</v>
      </c>
      <c r="P137" s="22">
        <v>99993.7479334299</v>
      </c>
      <c r="Q137" s="74">
        <v>0.07033619649342752</v>
      </c>
    </row>
    <row r="138" ht="22.5" customHeight="1">
      <c r="A138" s="66">
        <v>45904.0</v>
      </c>
      <c r="B138" s="68">
        <v>253153.25000000003</v>
      </c>
      <c r="C138" s="68">
        <v>224328.81999999998</v>
      </c>
      <c r="D138" s="68">
        <v>28824.43000000005</v>
      </c>
      <c r="E138" s="69">
        <v>0.12849187188699185</v>
      </c>
      <c r="F138" s="70">
        <v>1265814.1667300053</v>
      </c>
      <c r="G138" s="37">
        <v>1197325.3626053059</v>
      </c>
      <c r="H138" s="22">
        <v>68488.80412469944</v>
      </c>
      <c r="I138" s="69">
        <v>0.05720149782484524</v>
      </c>
      <c r="J138" s="22">
        <v>41182.112065299996</v>
      </c>
      <c r="K138" s="37">
        <v>36623.2517675434</v>
      </c>
      <c r="L138" s="22">
        <v>4558.860297756597</v>
      </c>
      <c r="M138" s="69">
        <v>0.12447994314357397</v>
      </c>
      <c r="N138" s="70">
        <v>1518967.4167300053</v>
      </c>
      <c r="O138" s="37">
        <v>1421654.182605306</v>
      </c>
      <c r="P138" s="22">
        <v>97313.23412469937</v>
      </c>
      <c r="Q138" s="74">
        <v>0.06845070715183656</v>
      </c>
    </row>
    <row r="139" ht="22.5" customHeight="1">
      <c r="A139" s="66">
        <v>45905.0</v>
      </c>
      <c r="B139" s="68">
        <v>254836.05</v>
      </c>
      <c r="C139" s="68">
        <v>224328.81999999998</v>
      </c>
      <c r="D139" s="68">
        <v>30507.23000000001</v>
      </c>
      <c r="E139" s="69">
        <v>0.1359933601041543</v>
      </c>
      <c r="F139" s="70">
        <v>1280583.3852240113</v>
      </c>
      <c r="G139" s="37">
        <v>1197325.3626053059</v>
      </c>
      <c r="H139" s="22">
        <v>83258.0226187054</v>
      </c>
      <c r="I139" s="69">
        <v>0.06953667333793138</v>
      </c>
      <c r="J139" s="22">
        <v>41711.5974212</v>
      </c>
      <c r="K139" s="37">
        <v>36623.2517675434</v>
      </c>
      <c r="L139" s="22">
        <v>5088.345653656601</v>
      </c>
      <c r="M139" s="69">
        <v>0.13893757129906315</v>
      </c>
      <c r="N139" s="70">
        <v>1535419.4352240113</v>
      </c>
      <c r="O139" s="37">
        <v>1421654.182605306</v>
      </c>
      <c r="P139" s="22">
        <v>113765.25261870539</v>
      </c>
      <c r="Q139" s="74">
        <v>0.08002315472404167</v>
      </c>
    </row>
    <row r="140" ht="22.5" customHeight="1">
      <c r="A140" s="66">
        <v>45908.0</v>
      </c>
      <c r="B140" s="68">
        <v>257478.65</v>
      </c>
      <c r="C140" s="68">
        <v>224328.81999999998</v>
      </c>
      <c r="D140" s="68">
        <v>33149.830000000016</v>
      </c>
      <c r="E140" s="69">
        <v>0.14777338908126036</v>
      </c>
      <c r="F140" s="70">
        <v>1289584.7120125198</v>
      </c>
      <c r="G140" s="37">
        <v>1197325.3626053059</v>
      </c>
      <c r="H140" s="22">
        <v>92259.34940721397</v>
      </c>
      <c r="I140" s="69">
        <v>0.07705453529061085</v>
      </c>
      <c r="J140" s="22">
        <v>42280.77284019999</v>
      </c>
      <c r="K140" s="37">
        <v>36623.2517675434</v>
      </c>
      <c r="L140" s="22">
        <v>5657.521072656593</v>
      </c>
      <c r="M140" s="69">
        <v>0.15447893891471576</v>
      </c>
      <c r="N140" s="70">
        <v>1547063.3620125197</v>
      </c>
      <c r="O140" s="37">
        <v>1421654.182605306</v>
      </c>
      <c r="P140" s="22">
        <v>125409.17940721381</v>
      </c>
      <c r="Q140" s="74">
        <v>0.08821356201927426</v>
      </c>
    </row>
    <row r="141" ht="22.5" customHeight="1">
      <c r="A141" s="66">
        <v>45909.0</v>
      </c>
      <c r="B141" s="68">
        <v>259763.19999999998</v>
      </c>
      <c r="C141" s="68">
        <v>224328.81999999998</v>
      </c>
      <c r="D141" s="68">
        <v>35434.380000000005</v>
      </c>
      <c r="E141" s="69">
        <v>0.15795732353961478</v>
      </c>
      <c r="F141" s="70">
        <v>1277141.9789785661</v>
      </c>
      <c r="G141" s="37">
        <v>1197325.3626053059</v>
      </c>
      <c r="H141" s="22">
        <v>79816.61637326027</v>
      </c>
      <c r="I141" s="69">
        <v>0.06666242849778464</v>
      </c>
      <c r="J141" s="22">
        <v>42082.12446549999</v>
      </c>
      <c r="K141" s="37">
        <v>36623.2517675434</v>
      </c>
      <c r="L141" s="22">
        <v>5458.872697956591</v>
      </c>
      <c r="M141" s="69">
        <v>0.14905483359602723</v>
      </c>
      <c r="N141" s="70">
        <v>1536905.178978566</v>
      </c>
      <c r="O141" s="37">
        <v>1421654.182605306</v>
      </c>
      <c r="P141" s="22">
        <v>115250.99637326016</v>
      </c>
      <c r="Q141" s="74">
        <v>0.08106823570979309</v>
      </c>
    </row>
    <row r="142" ht="22.5" customHeight="1">
      <c r="A142" s="66">
        <v>45910.0</v>
      </c>
      <c r="B142" s="68">
        <v>262282.95</v>
      </c>
      <c r="C142" s="68">
        <v>224328.81999999998</v>
      </c>
      <c r="D142" s="68">
        <v>37954.130000000034</v>
      </c>
      <c r="E142" s="69">
        <v>0.16918971891351292</v>
      </c>
      <c r="F142" s="70">
        <v>1289195.8328793813</v>
      </c>
      <c r="G142" s="37">
        <v>1197325.3626053059</v>
      </c>
      <c r="H142" s="22">
        <v>91870.4702740754</v>
      </c>
      <c r="I142" s="69">
        <v>0.07672974543374822</v>
      </c>
      <c r="J142" s="22">
        <v>42454.13405380001</v>
      </c>
      <c r="K142" s="37">
        <v>36623.2517675434</v>
      </c>
      <c r="L142" s="22">
        <v>5830.8822862566085</v>
      </c>
      <c r="M142" s="69">
        <v>0.15921257684234658</v>
      </c>
      <c r="N142" s="70">
        <v>1551478.7828793812</v>
      </c>
      <c r="O142" s="37">
        <v>1421654.182605306</v>
      </c>
      <c r="P142" s="22">
        <v>129824.60027407529</v>
      </c>
      <c r="Q142" s="74">
        <v>0.0913193952949657</v>
      </c>
    </row>
    <row r="143" ht="22.5" customHeight="1">
      <c r="A143" s="66">
        <v>45911.0</v>
      </c>
      <c r="B143" s="68">
        <v>267157.10000000003</v>
      </c>
      <c r="C143" s="68">
        <v>224328.81999999998</v>
      </c>
      <c r="D143" s="68">
        <v>42828.28000000006</v>
      </c>
      <c r="E143" s="69">
        <v>0.19091742202361722</v>
      </c>
      <c r="F143" s="70">
        <v>1296157.6343581772</v>
      </c>
      <c r="G143" s="37">
        <v>1197325.3626053059</v>
      </c>
      <c r="H143" s="22">
        <v>98832.27175287134</v>
      </c>
      <c r="I143" s="69">
        <v>0.0825442063114895</v>
      </c>
      <c r="J143" s="22">
        <v>42835.4418308</v>
      </c>
      <c r="K143" s="37">
        <v>36623.2517675434</v>
      </c>
      <c r="L143" s="22">
        <v>6212.190063256603</v>
      </c>
      <c r="M143" s="69">
        <v>0.1696242076669453</v>
      </c>
      <c r="N143" s="70">
        <v>1563314.7343581773</v>
      </c>
      <c r="O143" s="37">
        <v>1421654.182605306</v>
      </c>
      <c r="P143" s="22">
        <v>141660.55175287137</v>
      </c>
      <c r="Q143" s="74">
        <v>0.09964487389842303</v>
      </c>
    </row>
    <row r="144" ht="22.5" customHeight="1">
      <c r="A144" s="66">
        <v>45912.0</v>
      </c>
      <c r="B144" s="68">
        <v>269479.5</v>
      </c>
      <c r="C144" s="68">
        <v>224328.81999999998</v>
      </c>
      <c r="D144" s="68">
        <v>45150.68000000002</v>
      </c>
      <c r="E144" s="69">
        <v>0.20127008201621185</v>
      </c>
      <c r="F144" s="70">
        <v>1332262.9838242165</v>
      </c>
      <c r="G144" s="37">
        <v>1197325.3626053059</v>
      </c>
      <c r="H144" s="22">
        <v>134937.62121891067</v>
      </c>
      <c r="I144" s="69">
        <v>0.11269920894792938</v>
      </c>
      <c r="J144" s="22">
        <v>43961.68081590001</v>
      </c>
      <c r="K144" s="37">
        <v>36623.2517675434</v>
      </c>
      <c r="L144" s="22">
        <v>7338.429048356607</v>
      </c>
      <c r="M144" s="69">
        <v>0.20037622805684718</v>
      </c>
      <c r="N144" s="70">
        <v>1601742.4838242165</v>
      </c>
      <c r="O144" s="37">
        <v>1421654.182605306</v>
      </c>
      <c r="P144" s="22">
        <v>180088.3012189106</v>
      </c>
      <c r="Q144" s="74">
        <v>0.1266751812236665</v>
      </c>
    </row>
    <row r="145" ht="22.5" customHeight="1">
      <c r="A145" s="66">
        <v>45915.0</v>
      </c>
      <c r="B145" s="68">
        <v>272043.85</v>
      </c>
      <c r="C145" s="68">
        <v>224328.81999999998</v>
      </c>
      <c r="D145" s="68">
        <v>47715.03</v>
      </c>
      <c r="E145" s="69">
        <v>0.2127012926827681</v>
      </c>
      <c r="F145" s="70">
        <v>1373469.2132453467</v>
      </c>
      <c r="G145" s="37">
        <v>1197325.3626053059</v>
      </c>
      <c r="H145" s="22">
        <v>176143.85064004082</v>
      </c>
      <c r="I145" s="69">
        <v>0.14711444035292354</v>
      </c>
      <c r="J145" s="22">
        <v>45329.16654000002</v>
      </c>
      <c r="K145" s="37">
        <v>36623.2517675434</v>
      </c>
      <c r="L145" s="22">
        <v>8705.914772456621</v>
      </c>
      <c r="M145" s="69">
        <v>0.23771550455746418</v>
      </c>
      <c r="N145" s="70">
        <v>1645513.0632453468</v>
      </c>
      <c r="O145" s="37">
        <v>1421654.182605306</v>
      </c>
      <c r="P145" s="22">
        <v>223858.88064004085</v>
      </c>
      <c r="Q145" s="74">
        <v>0.15746366688824412</v>
      </c>
    </row>
    <row r="146" ht="22.5" customHeight="1">
      <c r="A146" s="66">
        <v>45916.0</v>
      </c>
      <c r="B146" s="68">
        <v>272120.3</v>
      </c>
      <c r="C146" s="68">
        <v>224328.81999999998</v>
      </c>
      <c r="D146" s="68">
        <v>47791.48000000001</v>
      </c>
      <c r="E146" s="69">
        <v>0.2130420870577397</v>
      </c>
      <c r="F146" s="70">
        <v>1398297.983870806</v>
      </c>
      <c r="G146" s="37">
        <v>1197325.3626053059</v>
      </c>
      <c r="H146" s="22">
        <v>200972.62126550009</v>
      </c>
      <c r="I146" s="69">
        <v>0.16785130219591782</v>
      </c>
      <c r="J146" s="22">
        <v>46283.034029300004</v>
      </c>
      <c r="K146" s="37">
        <v>36623.2517675434</v>
      </c>
      <c r="L146" s="22">
        <v>9659.782261756605</v>
      </c>
      <c r="M146" s="69">
        <v>0.2637609113212986</v>
      </c>
      <c r="N146" s="70">
        <v>1670418.283870806</v>
      </c>
      <c r="O146" s="37">
        <v>1421654.182605306</v>
      </c>
      <c r="P146" s="22">
        <v>248764.10126550007</v>
      </c>
      <c r="Q146" s="74">
        <v>0.17498214707153187</v>
      </c>
    </row>
    <row r="147" ht="22.5" customHeight="1">
      <c r="A147" s="66">
        <v>45918.0</v>
      </c>
      <c r="B147" s="68">
        <v>273711.85</v>
      </c>
      <c r="C147" s="68">
        <v>224328.81999999998</v>
      </c>
      <c r="D147" s="68">
        <v>49383.03</v>
      </c>
      <c r="E147" s="69">
        <v>0.2201368063185105</v>
      </c>
      <c r="F147" s="70">
        <v>1413031.8815553414</v>
      </c>
      <c r="G147" s="37">
        <v>1197325.3626053059</v>
      </c>
      <c r="H147" s="22">
        <v>215706.51895003556</v>
      </c>
      <c r="I147" s="69">
        <v>0.18015697795014676</v>
      </c>
      <c r="J147" s="22">
        <v>46955.360235700005</v>
      </c>
      <c r="K147" s="37">
        <v>36623.2517675434</v>
      </c>
      <c r="L147" s="22">
        <v>10332.108468156606</v>
      </c>
      <c r="M147" s="69">
        <v>0.2821188171311763</v>
      </c>
      <c r="N147" s="70">
        <v>1686743.7315553413</v>
      </c>
      <c r="O147" s="37">
        <v>1421654.182605306</v>
      </c>
      <c r="P147" s="22">
        <v>265089.54895003536</v>
      </c>
      <c r="Q147" s="74">
        <v>0.18646556398422823</v>
      </c>
    </row>
    <row r="148" ht="22.5" customHeight="1">
      <c r="A148" s="66">
        <v>45919.0</v>
      </c>
      <c r="B148" s="68">
        <v>276597.9</v>
      </c>
      <c r="C148" s="68">
        <v>224328.81999999998</v>
      </c>
      <c r="D148" s="68">
        <v>52269.080000000045</v>
      </c>
      <c r="E148" s="69">
        <v>0.23300207258256006</v>
      </c>
      <c r="F148" s="70">
        <v>1411473.1325360914</v>
      </c>
      <c r="G148" s="37">
        <v>1197325.3626053059</v>
      </c>
      <c r="H148" s="22">
        <v>214147.76993078552</v>
      </c>
      <c r="I148" s="69">
        <v>0.17885511876639215</v>
      </c>
      <c r="J148" s="22">
        <v>46845.184208000006</v>
      </c>
      <c r="K148" s="37">
        <v>36623.2517675434</v>
      </c>
      <c r="L148" s="22">
        <v>10221.932440456607</v>
      </c>
      <c r="M148" s="69">
        <v>0.27911045434571663</v>
      </c>
      <c r="N148" s="70">
        <v>1688071.0325360913</v>
      </c>
      <c r="O148" s="37">
        <v>1421654.182605306</v>
      </c>
      <c r="P148" s="22">
        <v>266416.84993078536</v>
      </c>
      <c r="Q148" s="74">
        <v>0.1873991953813642</v>
      </c>
    </row>
    <row r="149" ht="22.5" customHeight="1">
      <c r="A149" s="66">
        <v>45922.0</v>
      </c>
      <c r="B149" s="68">
        <v>276875.3</v>
      </c>
      <c r="C149" s="68">
        <v>224328.81999999998</v>
      </c>
      <c r="D149" s="68">
        <v>52546.48000000001</v>
      </c>
      <c r="E149" s="69">
        <v>0.23423865020999093</v>
      </c>
      <c r="F149" s="70">
        <v>1434191.9545011257</v>
      </c>
      <c r="G149" s="37">
        <v>1197325.3626053059</v>
      </c>
      <c r="H149" s="22">
        <v>236866.59189581987</v>
      </c>
      <c r="I149" s="69">
        <v>0.1978297623132386</v>
      </c>
      <c r="J149" s="22">
        <v>47408.17596830001</v>
      </c>
      <c r="K149" s="37">
        <v>36623.2517675434</v>
      </c>
      <c r="L149" s="22">
        <v>10784.924200756614</v>
      </c>
      <c r="M149" s="69">
        <v>0.2944829768042206</v>
      </c>
      <c r="N149" s="70">
        <v>1711067.2545011258</v>
      </c>
      <c r="O149" s="37">
        <v>1421654.182605306</v>
      </c>
      <c r="P149" s="22">
        <v>289413.07189581986</v>
      </c>
      <c r="Q149" s="74">
        <v>0.20357487456298623</v>
      </c>
    </row>
    <row r="150" ht="22.5" customHeight="1">
      <c r="A150" s="66">
        <v>45923.0</v>
      </c>
      <c r="B150" s="68">
        <v>278869.85</v>
      </c>
      <c r="C150" s="68">
        <v>224328.81999999998</v>
      </c>
      <c r="D150" s="68">
        <v>54541.03</v>
      </c>
      <c r="E150" s="69">
        <v>0.24312983949186737</v>
      </c>
      <c r="F150" s="70">
        <v>1446913.0371404542</v>
      </c>
      <c r="G150" s="37">
        <v>1197325.3626053059</v>
      </c>
      <c r="H150" s="22">
        <v>249587.6745351483</v>
      </c>
      <c r="I150" s="69">
        <v>0.20845434526840806</v>
      </c>
      <c r="J150" s="22">
        <v>47865.06457840002</v>
      </c>
      <c r="K150" s="37">
        <v>36623.2517675434</v>
      </c>
      <c r="L150" s="22">
        <v>11241.812810856623</v>
      </c>
      <c r="M150" s="69">
        <v>0.30695834663211</v>
      </c>
      <c r="N150" s="70">
        <v>1725782.8871404543</v>
      </c>
      <c r="O150" s="37">
        <v>1421654.182605306</v>
      </c>
      <c r="P150" s="22">
        <v>304128.70453514834</v>
      </c>
      <c r="Q150" s="74">
        <v>0.21392593800681248</v>
      </c>
    </row>
    <row r="151" ht="22.5" customHeight="1">
      <c r="A151" s="66">
        <v>45924.0</v>
      </c>
      <c r="B151" s="68">
        <v>283781.5</v>
      </c>
      <c r="C151" s="68">
        <v>224328.81999999998</v>
      </c>
      <c r="D151" s="68">
        <v>59452.68000000002</v>
      </c>
      <c r="E151" s="69">
        <v>0.2650247079265162</v>
      </c>
      <c r="F151" s="70">
        <v>1422255.3013885217</v>
      </c>
      <c r="G151" s="37">
        <v>1197325.3626053059</v>
      </c>
      <c r="H151" s="22">
        <v>224929.93878321582</v>
      </c>
      <c r="I151" s="69">
        <v>0.18786033087429319</v>
      </c>
      <c r="J151" s="22">
        <v>46968.88612560001</v>
      </c>
      <c r="K151" s="37">
        <v>36623.2517675434</v>
      </c>
      <c r="L151" s="22">
        <v>10345.63435805661</v>
      </c>
      <c r="M151" s="69">
        <v>0.28248814233435204</v>
      </c>
      <c r="N151" s="70">
        <v>1706036.8013885217</v>
      </c>
      <c r="O151" s="37">
        <v>1421654.182605306</v>
      </c>
      <c r="P151" s="22">
        <v>284382.61878321576</v>
      </c>
      <c r="Q151" s="74">
        <v>0.20003642395090745</v>
      </c>
    </row>
    <row r="152" ht="22.5" customHeight="1">
      <c r="A152" s="66">
        <v>45925.0</v>
      </c>
      <c r="B152" s="68">
        <v>283516.89999999997</v>
      </c>
      <c r="C152" s="68">
        <v>224328.81999999998</v>
      </c>
      <c r="D152" s="68">
        <v>59188.07999999999</v>
      </c>
      <c r="E152" s="69">
        <v>0.26384518939652957</v>
      </c>
      <c r="F152" s="70">
        <v>1452072.2738691624</v>
      </c>
      <c r="G152" s="37">
        <v>1197325.3626053059</v>
      </c>
      <c r="H152" s="22">
        <v>254746.91126385657</v>
      </c>
      <c r="I152" s="69">
        <v>0.21276331331488968</v>
      </c>
      <c r="J152" s="22">
        <v>47791.00919020001</v>
      </c>
      <c r="K152" s="37">
        <v>36623.2517675434</v>
      </c>
      <c r="L152" s="22">
        <v>11167.757422656614</v>
      </c>
      <c r="M152" s="69">
        <v>0.30493625998972074</v>
      </c>
      <c r="N152" s="70">
        <v>1735589.1738691623</v>
      </c>
      <c r="O152" s="37">
        <v>1421654.182605306</v>
      </c>
      <c r="P152" s="22">
        <v>313934.9912638564</v>
      </c>
      <c r="Q152" s="74">
        <v>0.22082373836409572</v>
      </c>
    </row>
    <row r="153" ht="22.5" customHeight="1">
      <c r="A153" s="66">
        <v>45926.0</v>
      </c>
      <c r="B153" s="68">
        <v>282587.7</v>
      </c>
      <c r="C153" s="68">
        <v>224328.81999999998</v>
      </c>
      <c r="D153" s="68">
        <v>58258.880000000034</v>
      </c>
      <c r="E153" s="69">
        <v>0.25970305554141476</v>
      </c>
      <c r="F153" s="70">
        <v>1423814.3394442394</v>
      </c>
      <c r="G153" s="37">
        <v>1197325.3626053059</v>
      </c>
      <c r="H153" s="22">
        <v>226488.97683893354</v>
      </c>
      <c r="I153" s="69">
        <v>0.1891624314598227</v>
      </c>
      <c r="J153" s="22">
        <v>46569.906143000015</v>
      </c>
      <c r="K153" s="37">
        <v>36623.2517675434</v>
      </c>
      <c r="L153" s="22">
        <v>9946.654375456616</v>
      </c>
      <c r="M153" s="69">
        <v>0.2715939709174496</v>
      </c>
      <c r="N153" s="70">
        <v>1706402.0394442393</v>
      </c>
      <c r="O153" s="37">
        <v>1421654.182605306</v>
      </c>
      <c r="P153" s="22">
        <v>284747.8568389334</v>
      </c>
      <c r="Q153" s="74">
        <v>0.2002933345696687</v>
      </c>
    </row>
    <row r="154" ht="22.5" customHeight="1">
      <c r="A154" s="66">
        <v>45929.0</v>
      </c>
      <c r="B154" s="68">
        <v>278151.85</v>
      </c>
      <c r="C154" s="68">
        <v>224328.81999999998</v>
      </c>
      <c r="D154" s="68">
        <v>53823.03</v>
      </c>
      <c r="E154" s="69">
        <v>0.23992918074458736</v>
      </c>
      <c r="F154" s="70">
        <v>1449083.862784169</v>
      </c>
      <c r="G154" s="37">
        <v>1197325.3626053059</v>
      </c>
      <c r="H154" s="22">
        <v>251758.50017886306</v>
      </c>
      <c r="I154" s="69">
        <v>0.21026740770867172</v>
      </c>
      <c r="J154" s="22">
        <v>47544.461268900006</v>
      </c>
      <c r="K154" s="37">
        <v>36623.2517675434</v>
      </c>
      <c r="L154" s="22">
        <v>10921.209501356607</v>
      </c>
      <c r="M154" s="69">
        <v>0.2982042547908131</v>
      </c>
      <c r="N154" s="70">
        <v>1727235.7127841688</v>
      </c>
      <c r="O154" s="37">
        <v>1421654.182605306</v>
      </c>
      <c r="P154" s="22">
        <v>305581.53017886286</v>
      </c>
      <c r="Q154" s="74">
        <v>0.2149478641977882</v>
      </c>
    </row>
    <row r="155" ht="22.5" customHeight="1">
      <c r="A155" s="66">
        <v>45930.0</v>
      </c>
      <c r="B155" s="68">
        <v>278151.85</v>
      </c>
      <c r="C155" s="68">
        <v>224328.81999999998</v>
      </c>
      <c r="D155" s="68">
        <v>53823.03</v>
      </c>
      <c r="E155" s="69">
        <v>0.23992918074458736</v>
      </c>
      <c r="F155" s="70">
        <v>1459035.5073957555</v>
      </c>
      <c r="G155" s="37">
        <v>1197325.3626053059</v>
      </c>
      <c r="H155" s="22">
        <v>261710.14479044965</v>
      </c>
      <c r="I155" s="69">
        <v>0.21857897023160403</v>
      </c>
      <c r="J155" s="22">
        <v>47880.7305718</v>
      </c>
      <c r="K155" s="37">
        <v>36623.2517675434</v>
      </c>
      <c r="L155" s="22">
        <v>11257.4788042566</v>
      </c>
      <c r="M155" s="69">
        <v>0.3073861074846802</v>
      </c>
      <c r="N155" s="70">
        <v>1737187.3573957556</v>
      </c>
      <c r="O155" s="37">
        <v>1421654.182605306</v>
      </c>
      <c r="P155" s="22">
        <v>315533.1747904497</v>
      </c>
      <c r="Q155" s="74">
        <v>0.2219479101536546</v>
      </c>
    </row>
    <row r="156" ht="22.5" customHeight="1">
      <c r="A156" s="66">
        <v>45931.0</v>
      </c>
      <c r="B156" s="68">
        <v>280828.8</v>
      </c>
      <c r="C156" s="68">
        <v>224328.81999999998</v>
      </c>
      <c r="D156" s="68">
        <v>56499.98000000001</v>
      </c>
      <c r="E156" s="69">
        <v>0.25186233315897627</v>
      </c>
      <c r="F156" s="70">
        <v>1491209.8948669024</v>
      </c>
      <c r="G156" s="37">
        <v>1230701.6289331296</v>
      </c>
      <c r="H156" s="22">
        <v>260508.26593377278</v>
      </c>
      <c r="I156" s="69">
        <v>0.21167459261397267</v>
      </c>
      <c r="J156" s="22">
        <v>48961.1629403</v>
      </c>
      <c r="K156" s="37">
        <v>37640.0517675434</v>
      </c>
      <c r="L156" s="22">
        <v>11321.111172756595</v>
      </c>
      <c r="M156" s="69">
        <v>0.3007729968777212</v>
      </c>
      <c r="N156" s="70">
        <v>1772038.6948669024</v>
      </c>
      <c r="O156" s="37">
        <v>1455030.4489331297</v>
      </c>
      <c r="P156" s="22">
        <v>317008.24593377276</v>
      </c>
      <c r="Q156" s="74">
        <v>0.21787052371736437</v>
      </c>
    </row>
    <row r="157" ht="22.5" customHeight="1">
      <c r="A157" s="66">
        <v>45932.0</v>
      </c>
      <c r="B157" s="68">
        <v>282158.75</v>
      </c>
      <c r="C157" s="68">
        <v>224328.81999999998</v>
      </c>
      <c r="D157" s="68">
        <v>57829.93000000002</v>
      </c>
      <c r="E157" s="69">
        <v>0.2577909071157243</v>
      </c>
      <c r="F157" s="70">
        <v>1508015.2789860307</v>
      </c>
      <c r="G157" s="37">
        <v>1230701.6289331296</v>
      </c>
      <c r="H157" s="22">
        <v>277313.6500529011</v>
      </c>
      <c r="I157" s="69">
        <v>0.22532971723885564</v>
      </c>
      <c r="J157" s="22">
        <v>49491.966793</v>
      </c>
      <c r="K157" s="37">
        <v>37640.0517675434</v>
      </c>
      <c r="L157" s="22">
        <v>11851.915025456598</v>
      </c>
      <c r="M157" s="69">
        <v>0.3148750989677536</v>
      </c>
      <c r="N157" s="70">
        <v>1790174.0289860307</v>
      </c>
      <c r="O157" s="37">
        <v>1455030.4489331297</v>
      </c>
      <c r="P157" s="22">
        <v>335143.58005290106</v>
      </c>
      <c r="Q157" s="74">
        <v>0.2303344100452592</v>
      </c>
    </row>
    <row r="158" ht="22.5" customHeight="1">
      <c r="A158" s="66">
        <v>45933.0</v>
      </c>
      <c r="B158" s="68">
        <v>287384.05</v>
      </c>
      <c r="C158" s="68">
        <v>224328.81999999998</v>
      </c>
      <c r="D158" s="68">
        <v>63055.23000000001</v>
      </c>
      <c r="E158" s="69">
        <v>0.2810839463248637</v>
      </c>
      <c r="F158" s="70">
        <v>1474264.1214692683</v>
      </c>
      <c r="G158" s="37">
        <v>1230701.6289331296</v>
      </c>
      <c r="H158" s="22">
        <v>243562.49253613874</v>
      </c>
      <c r="I158" s="69">
        <v>0.19790539543469862</v>
      </c>
      <c r="J158" s="22">
        <v>48372.0542782</v>
      </c>
      <c r="K158" s="37">
        <v>37640.0517675434</v>
      </c>
      <c r="L158" s="22">
        <v>10732.002510656595</v>
      </c>
      <c r="M158" s="69">
        <v>0.28512188497866736</v>
      </c>
      <c r="N158" s="70">
        <v>1761648.1714692684</v>
      </c>
      <c r="O158" s="37">
        <v>1455030.4489331297</v>
      </c>
      <c r="P158" s="22">
        <v>306617.7225361387</v>
      </c>
      <c r="Q158" s="74">
        <v>0.2107294199657194</v>
      </c>
    </row>
    <row r="159" ht="22.5" customHeight="1">
      <c r="A159" s="66">
        <v>45934.0</v>
      </c>
      <c r="B159" s="68">
        <v>291399.2</v>
      </c>
      <c r="C159" s="68">
        <v>224328.81999999998</v>
      </c>
      <c r="D159" s="68">
        <v>67070.38000000003</v>
      </c>
      <c r="E159" s="69">
        <v>0.29898244906740046</v>
      </c>
      <c r="F159" s="70">
        <v>1456302.7080678712</v>
      </c>
      <c r="G159" s="37">
        <v>1228415.3626053059</v>
      </c>
      <c r="H159" s="22">
        <v>227887.3454625653</v>
      </c>
      <c r="I159" s="69">
        <v>0.18551326562641363</v>
      </c>
      <c r="J159" s="22">
        <v>47918.092495200006</v>
      </c>
      <c r="K159" s="37">
        <v>37640.0517675434</v>
      </c>
      <c r="L159" s="22">
        <v>10278.040727656604</v>
      </c>
      <c r="M159" s="69">
        <v>0.2730612803386005</v>
      </c>
      <c r="N159" s="70">
        <v>1747701.9080678711</v>
      </c>
      <c r="O159" s="37">
        <v>1452744.182605306</v>
      </c>
      <c r="P159" s="22">
        <v>294957.7254625652</v>
      </c>
      <c r="Q159" s="74">
        <v>0.20303486945209945</v>
      </c>
    </row>
    <row r="160" ht="22.5" customHeight="1">
      <c r="A160" s="66">
        <v>45937.0</v>
      </c>
      <c r="B160" s="68">
        <v>299021.0</v>
      </c>
      <c r="C160" s="68">
        <v>224328.81999999998</v>
      </c>
      <c r="D160" s="68">
        <v>74692.18000000002</v>
      </c>
      <c r="E160" s="69">
        <v>0.33295846695043474</v>
      </c>
      <c r="F160" s="70">
        <v>1508373.7913220793</v>
      </c>
      <c r="G160" s="37">
        <v>1232093.1002962727</v>
      </c>
      <c r="H160" s="22">
        <v>276280.6910258066</v>
      </c>
      <c r="I160" s="69">
        <v>0.22423686242490226</v>
      </c>
      <c r="J160" s="22">
        <v>49536.89851465801</v>
      </c>
      <c r="K160" s="37">
        <v>37749.61836754339</v>
      </c>
      <c r="L160" s="22">
        <v>11787.280147114616</v>
      </c>
      <c r="M160" s="69">
        <v>0.31224898838312914</v>
      </c>
      <c r="N160" s="70">
        <v>1807394.7913220793</v>
      </c>
      <c r="O160" s="37">
        <v>1456421.9202962727</v>
      </c>
      <c r="P160" s="22">
        <v>350972.8710258065</v>
      </c>
      <c r="Q160" s="74">
        <v>0.24098296388893256</v>
      </c>
    </row>
    <row r="161" ht="22.5" customHeight="1">
      <c r="A161" s="66">
        <v>45938.0</v>
      </c>
      <c r="B161" s="68">
        <v>299021.0</v>
      </c>
      <c r="C161" s="68">
        <v>224328.81999999998</v>
      </c>
      <c r="D161" s="68">
        <v>74692.18000000002</v>
      </c>
      <c r="E161" s="69">
        <v>0.33295846695043474</v>
      </c>
      <c r="F161" s="70">
        <v>1480801.6099823797</v>
      </c>
      <c r="G161" s="37">
        <v>1232093.1002962727</v>
      </c>
      <c r="H161" s="22">
        <v>248708.50968610705</v>
      </c>
      <c r="I161" s="69">
        <v>0.2018585361985242</v>
      </c>
      <c r="J161" s="22">
        <v>48443.978041318</v>
      </c>
      <c r="K161" s="37">
        <v>37749.61836754339</v>
      </c>
      <c r="L161" s="22">
        <v>10694.359673774605</v>
      </c>
      <c r="M161" s="69">
        <v>0.2832971599778998</v>
      </c>
      <c r="N161" s="70">
        <v>1779822.6099823797</v>
      </c>
      <c r="O161" s="37">
        <v>1456421.9202962727</v>
      </c>
      <c r="P161" s="22">
        <v>323400.689686107</v>
      </c>
      <c r="Q161" s="74">
        <v>0.22205151211972912</v>
      </c>
    </row>
    <row r="162" ht="22.5" customHeight="1">
      <c r="A162" s="66">
        <v>45939.0</v>
      </c>
      <c r="B162" s="68">
        <v>296465.89999999997</v>
      </c>
      <c r="C162" s="68">
        <v>224328.81999999998</v>
      </c>
      <c r="D162" s="68">
        <v>72137.07999999999</v>
      </c>
      <c r="E162" s="69">
        <v>0.3215684903972659</v>
      </c>
      <c r="F162" s="70">
        <v>1493591.3604210766</v>
      </c>
      <c r="G162" s="37">
        <v>1237653.7403023432</v>
      </c>
      <c r="H162" s="22">
        <v>255937.6201187335</v>
      </c>
      <c r="I162" s="69">
        <v>0.20679258809189327</v>
      </c>
      <c r="J162" s="22">
        <v>48905.90929371798</v>
      </c>
      <c r="K162" s="37">
        <v>37919.00836754339</v>
      </c>
      <c r="L162" s="22">
        <v>10986.900926174589</v>
      </c>
      <c r="M162" s="69">
        <v>0.28974652553358377</v>
      </c>
      <c r="N162" s="70">
        <v>1790057.2604210766</v>
      </c>
      <c r="O162" s="37">
        <v>1461982.5603023432</v>
      </c>
      <c r="P162" s="22">
        <v>328074.70011873334</v>
      </c>
      <c r="Q162" s="74">
        <v>0.22440397650905378</v>
      </c>
    </row>
    <row r="163" ht="22.5" customHeight="1">
      <c r="A163" s="66">
        <v>45941.0</v>
      </c>
      <c r="B163" s="68">
        <v>298690.0</v>
      </c>
      <c r="C163" s="68">
        <v>224328.81999999998</v>
      </c>
      <c r="D163" s="68">
        <v>74361.18000000002</v>
      </c>
      <c r="E163" s="69">
        <v>0.33148295435245473</v>
      </c>
      <c r="F163" s="70">
        <v>1427647.5834182508</v>
      </c>
      <c r="G163" s="37">
        <v>1237653.7403023432</v>
      </c>
      <c r="H163" s="22">
        <v>189993.84311590763</v>
      </c>
      <c r="I163" s="69">
        <v>0.1535113068615577</v>
      </c>
      <c r="J163" s="22">
        <v>46685.974733718</v>
      </c>
      <c r="K163" s="37">
        <v>37919.00836754339</v>
      </c>
      <c r="L163" s="22">
        <v>8766.966366174609</v>
      </c>
      <c r="M163" s="69">
        <v>0.2312024165083034</v>
      </c>
      <c r="N163" s="70">
        <v>1726337.5834182508</v>
      </c>
      <c r="O163" s="37">
        <v>1461982.5603023432</v>
      </c>
      <c r="P163" s="22">
        <v>264355.02311590756</v>
      </c>
      <c r="Q163" s="74">
        <v>0.18081954620665106</v>
      </c>
    </row>
    <row r="164" ht="22.5" customHeight="1">
      <c r="A164" s="66">
        <v>45942.0</v>
      </c>
      <c r="B164" s="68">
        <v>298690.0</v>
      </c>
      <c r="C164" s="68">
        <v>224328.81999999998</v>
      </c>
      <c r="D164" s="68">
        <v>74361.18000000002</v>
      </c>
      <c r="E164" s="69">
        <v>0.33148295435245473</v>
      </c>
      <c r="F164" s="70">
        <v>1427647.5834182508</v>
      </c>
      <c r="G164" s="37">
        <v>1237653.7403023432</v>
      </c>
      <c r="H164" s="22">
        <v>189993.84311590763</v>
      </c>
      <c r="I164" s="69">
        <v>0.1535113068615577</v>
      </c>
      <c r="J164" s="22">
        <v>46685.974733718</v>
      </c>
      <c r="K164" s="37">
        <v>37919.00836754339</v>
      </c>
      <c r="L164" s="22">
        <v>8766.966366174609</v>
      </c>
      <c r="M164" s="69">
        <v>0.2312024165083034</v>
      </c>
      <c r="N164" s="70">
        <v>1726337.5834182508</v>
      </c>
      <c r="O164" s="37">
        <v>1461982.5603023432</v>
      </c>
      <c r="P164" s="22">
        <v>264355.02311590756</v>
      </c>
      <c r="Q164" s="74">
        <v>0.18081954620665106</v>
      </c>
    </row>
    <row r="165" ht="22.5" customHeight="1">
      <c r="A165" s="66">
        <v>45943.0</v>
      </c>
      <c r="B165" s="68">
        <v>298690.0</v>
      </c>
      <c r="C165" s="68">
        <v>224328.81999999998</v>
      </c>
      <c r="D165" s="68">
        <v>74361.18000000002</v>
      </c>
      <c r="E165" s="69">
        <v>0.33148295435245473</v>
      </c>
      <c r="F165" s="70">
        <v>1433196.0263844926</v>
      </c>
      <c r="G165" s="37">
        <v>1237653.7403023432</v>
      </c>
      <c r="H165" s="22">
        <v>195542.28608214948</v>
      </c>
      <c r="I165" s="69">
        <v>0.1579943401895113</v>
      </c>
      <c r="J165" s="22">
        <v>46683.909654218</v>
      </c>
      <c r="K165" s="37">
        <v>37919.00836754339</v>
      </c>
      <c r="L165" s="22">
        <v>8764.901286674605</v>
      </c>
      <c r="M165" s="69">
        <v>0.23114795623655823</v>
      </c>
      <c r="N165" s="70">
        <v>1731886.0263844926</v>
      </c>
      <c r="O165" s="37">
        <v>1461982.5603023432</v>
      </c>
      <c r="P165" s="22">
        <v>269903.4660821494</v>
      </c>
      <c r="Q165" s="74">
        <v>0.18461469610576778</v>
      </c>
    </row>
    <row r="166" ht="22.5" customHeight="1">
      <c r="A166" s="66">
        <v>45946.0</v>
      </c>
      <c r="B166" s="68">
        <v>299456.75</v>
      </c>
      <c r="C166" s="68">
        <v>224328.81999999998</v>
      </c>
      <c r="D166" s="68">
        <v>75127.93000000002</v>
      </c>
      <c r="E166" s="69">
        <v>0.3349009280216427</v>
      </c>
      <c r="F166" s="70">
        <v>1438968.123616146</v>
      </c>
      <c r="G166" s="37">
        <v>1200345.7403023432</v>
      </c>
      <c r="H166" s="22">
        <v>238622.38331380277</v>
      </c>
      <c r="I166" s="69">
        <v>0.19879470997555967</v>
      </c>
      <c r="J166" s="22">
        <v>47006.821648318</v>
      </c>
      <c r="K166" s="37">
        <v>36655.7537675434</v>
      </c>
      <c r="L166" s="22">
        <v>10351.0678807746</v>
      </c>
      <c r="M166" s="69">
        <v>0.28238589626111815</v>
      </c>
      <c r="N166" s="70">
        <v>1738424.873616146</v>
      </c>
      <c r="O166" s="37">
        <v>1424674.5603023432</v>
      </c>
      <c r="P166" s="22">
        <v>313750.3133138027</v>
      </c>
      <c r="Q166" s="74">
        <v>0.2202259533905195</v>
      </c>
    </row>
    <row r="167" ht="22.5" customHeight="1">
      <c r="A167" s="66">
        <v>45947.0</v>
      </c>
      <c r="B167" s="68">
        <v>305014.3</v>
      </c>
      <c r="C167" s="68">
        <v>224328.81999999998</v>
      </c>
      <c r="D167" s="68">
        <v>80685.48000000001</v>
      </c>
      <c r="E167" s="69">
        <v>0.359675052006247</v>
      </c>
      <c r="F167" s="70">
        <v>1424602.7530507585</v>
      </c>
      <c r="G167" s="37">
        <v>1200345.7403023432</v>
      </c>
      <c r="H167" s="22">
        <v>224257.01274841535</v>
      </c>
      <c r="I167" s="69">
        <v>0.18682701593286738</v>
      </c>
      <c r="J167" s="22">
        <v>46519.633551217994</v>
      </c>
      <c r="K167" s="37">
        <v>36655.7537675434</v>
      </c>
      <c r="L167" s="22">
        <v>9863.879783674594</v>
      </c>
      <c r="M167" s="69">
        <v>0.26909499245950586</v>
      </c>
      <c r="N167" s="70">
        <v>1729617.0530507585</v>
      </c>
      <c r="O167" s="37">
        <v>1424674.5603023432</v>
      </c>
      <c r="P167" s="22">
        <v>304942.49274841533</v>
      </c>
      <c r="Q167" s="74">
        <v>0.2140436147632907</v>
      </c>
    </row>
    <row r="168" ht="22.5" customHeight="1">
      <c r="A168" s="66">
        <v>45950.0</v>
      </c>
      <c r="B168" s="68">
        <v>299379.9</v>
      </c>
      <c r="C168" s="68">
        <v>240415.81999999998</v>
      </c>
      <c r="D168" s="68">
        <v>58964.080000000045</v>
      </c>
      <c r="E168" s="69">
        <v>0.24525873546923846</v>
      </c>
      <c r="F168" s="70">
        <v>1440970.323282614</v>
      </c>
      <c r="G168" s="37">
        <v>1200345.7403023432</v>
      </c>
      <c r="H168" s="22">
        <v>240624.58298027073</v>
      </c>
      <c r="I168" s="69">
        <v>0.2004627291130822</v>
      </c>
      <c r="J168" s="22">
        <v>47027.829667718004</v>
      </c>
      <c r="K168" s="37">
        <v>36655.7537675434</v>
      </c>
      <c r="L168" s="22">
        <v>10372.075900174605</v>
      </c>
      <c r="M168" s="69">
        <v>0.2829590128182957</v>
      </c>
      <c r="N168" s="70">
        <v>1740350.2232826138</v>
      </c>
      <c r="O168" s="37">
        <v>1440761.5603023432</v>
      </c>
      <c r="P168" s="22">
        <v>299588.6629802706</v>
      </c>
      <c r="Q168" s="74">
        <v>0.20793771241190112</v>
      </c>
    </row>
    <row r="169" ht="22.5" customHeight="1">
      <c r="A169" s="66">
        <v>45951.0</v>
      </c>
      <c r="B169" s="68">
        <v>305099.60000000003</v>
      </c>
      <c r="C169" s="68">
        <v>240415.81999999998</v>
      </c>
      <c r="D169" s="68">
        <v>64683.78000000006</v>
      </c>
      <c r="E169" s="69">
        <v>0.26904959914867527</v>
      </c>
      <c r="F169" s="70">
        <v>1464357.2993797704</v>
      </c>
      <c r="G169" s="37">
        <v>1200345.7403023432</v>
      </c>
      <c r="H169" s="22">
        <v>264011.55907742726</v>
      </c>
      <c r="I169" s="69">
        <v>0.21994626232515976</v>
      </c>
      <c r="J169" s="22">
        <v>47774.409062517996</v>
      </c>
      <c r="K169" s="37">
        <v>36655.7537675434</v>
      </c>
      <c r="L169" s="22">
        <v>11118.655294974596</v>
      </c>
      <c r="M169" s="69">
        <v>0.303326330853399</v>
      </c>
      <c r="N169" s="70">
        <v>1769456.8993797705</v>
      </c>
      <c r="O169" s="37">
        <v>1440761.5603023432</v>
      </c>
      <c r="P169" s="22">
        <v>328695.3390774273</v>
      </c>
      <c r="Q169" s="74">
        <v>0.22813999771652063</v>
      </c>
    </row>
    <row r="170" ht="22.5" customHeight="1">
      <c r="A170" s="66">
        <v>45952.0</v>
      </c>
      <c r="B170" s="68">
        <v>302527.05000000005</v>
      </c>
      <c r="C170" s="68">
        <v>240415.81999999998</v>
      </c>
      <c r="D170" s="68">
        <v>62111.23000000007</v>
      </c>
      <c r="E170" s="69">
        <v>0.25834918018290176</v>
      </c>
      <c r="F170" s="70">
        <v>1440069.9213529907</v>
      </c>
      <c r="G170" s="37">
        <v>1200345.7403023432</v>
      </c>
      <c r="H170" s="22">
        <v>239724.18105064752</v>
      </c>
      <c r="I170" s="69">
        <v>0.19971261029365237</v>
      </c>
      <c r="J170" s="22">
        <v>46862.020911428</v>
      </c>
      <c r="K170" s="37">
        <v>36655.7537675434</v>
      </c>
      <c r="L170" s="22">
        <v>10206.267143884601</v>
      </c>
      <c r="M170" s="69">
        <v>0.2784356095528357</v>
      </c>
      <c r="N170" s="70">
        <v>1742596.9713529907</v>
      </c>
      <c r="O170" s="37">
        <v>1440761.5603023432</v>
      </c>
      <c r="P170" s="22">
        <v>301835.4110506475</v>
      </c>
      <c r="Q170" s="74">
        <v>0.20949712941210583</v>
      </c>
    </row>
    <row r="171" ht="22.5" customHeight="1">
      <c r="A171" s="66">
        <v>45953.0</v>
      </c>
      <c r="B171" s="68">
        <v>302527.05000000005</v>
      </c>
      <c r="C171" s="68">
        <v>240415.81999999998</v>
      </c>
      <c r="D171" s="68">
        <v>62111.23000000007</v>
      </c>
      <c r="E171" s="69">
        <v>0.25834918018290176</v>
      </c>
      <c r="F171" s="70">
        <v>1445331.2735273377</v>
      </c>
      <c r="G171" s="37">
        <v>1200345.7403023432</v>
      </c>
      <c r="H171" s="22">
        <v>244985.53322499455</v>
      </c>
      <c r="I171" s="69">
        <v>0.20409580756564985</v>
      </c>
      <c r="J171" s="22">
        <v>46987.362598417996</v>
      </c>
      <c r="K171" s="37">
        <v>36655.7537675434</v>
      </c>
      <c r="L171" s="22">
        <v>10331.608830874597</v>
      </c>
      <c r="M171" s="69">
        <v>0.2818550369034466</v>
      </c>
      <c r="N171" s="70">
        <v>1747858.3235273378</v>
      </c>
      <c r="O171" s="37">
        <v>1440761.5603023432</v>
      </c>
      <c r="P171" s="22">
        <v>307096.76322499453</v>
      </c>
      <c r="Q171" s="74">
        <v>0.2131489149117432</v>
      </c>
    </row>
    <row r="172" ht="22.5" customHeight="1">
      <c r="A172" s="66">
        <v>45954.0</v>
      </c>
      <c r="B172" s="68">
        <v>300723.55</v>
      </c>
      <c r="C172" s="68">
        <v>240415.81999999998</v>
      </c>
      <c r="D172" s="68">
        <v>60307.73000000001</v>
      </c>
      <c r="E172" s="69">
        <v>0.25084759397280937</v>
      </c>
      <c r="F172" s="70">
        <v>1470141.4474579098</v>
      </c>
      <c r="G172" s="37">
        <v>1200345.7403023432</v>
      </c>
      <c r="H172" s="22">
        <v>269795.70715556666</v>
      </c>
      <c r="I172" s="69">
        <v>0.22476499736451808</v>
      </c>
      <c r="J172" s="22">
        <v>47763.65592221802</v>
      </c>
      <c r="K172" s="37">
        <v>36655.7537675434</v>
      </c>
      <c r="L172" s="22">
        <v>11107.902154674623</v>
      </c>
      <c r="M172" s="69">
        <v>0.3030329760810987</v>
      </c>
      <c r="N172" s="70">
        <v>1770864.9974579099</v>
      </c>
      <c r="O172" s="37">
        <v>1440761.5603023432</v>
      </c>
      <c r="P172" s="22">
        <v>330103.43715556664</v>
      </c>
      <c r="Q172" s="74">
        <v>0.22911732673260285</v>
      </c>
    </row>
    <row r="173" ht="22.5" customHeight="1">
      <c r="A173" s="66">
        <v>45955.0</v>
      </c>
      <c r="B173" s="68">
        <v>300723.55</v>
      </c>
      <c r="C173" s="68">
        <v>240415.81999999998</v>
      </c>
      <c r="D173" s="68">
        <v>60307.73000000001</v>
      </c>
      <c r="E173" s="69">
        <v>0.25084759397280937</v>
      </c>
      <c r="F173" s="70">
        <v>1461998.2605852806</v>
      </c>
      <c r="G173" s="37">
        <v>1200345.7403023432</v>
      </c>
      <c r="H173" s="22">
        <v>261652.52028293745</v>
      </c>
      <c r="I173" s="69">
        <v>0.2179809628990997</v>
      </c>
      <c r="J173" s="22">
        <v>47499.09064751801</v>
      </c>
      <c r="K173" s="37">
        <v>36655.7537675434</v>
      </c>
      <c r="L173" s="22">
        <v>10843.33687997461</v>
      </c>
      <c r="M173" s="69">
        <v>0.2958154113741284</v>
      </c>
      <c r="N173" s="70">
        <v>1762721.8105852806</v>
      </c>
      <c r="O173" s="37">
        <v>1440761.5603023432</v>
      </c>
      <c r="P173" s="22">
        <v>321960.2502829374</v>
      </c>
      <c r="Q173" s="74">
        <v>0.22346532497394933</v>
      </c>
    </row>
    <row r="174" ht="22.5" customHeight="1">
      <c r="A174" s="66">
        <v>45958.0</v>
      </c>
      <c r="B174" s="68">
        <v>307597.64999999997</v>
      </c>
      <c r="C174" s="68">
        <v>240415.81999999998</v>
      </c>
      <c r="D174" s="68">
        <v>67181.82999999999</v>
      </c>
      <c r="E174" s="69">
        <v>0.27944013834031384</v>
      </c>
      <c r="F174" s="70">
        <v>1498657.0753418454</v>
      </c>
      <c r="G174" s="37">
        <v>1200345.7403023432</v>
      </c>
      <c r="H174" s="22">
        <v>298311.33503950224</v>
      </c>
      <c r="I174" s="69">
        <v>0.24852117604413174</v>
      </c>
      <c r="J174" s="22">
        <v>48929.66996231799</v>
      </c>
      <c r="K174" s="37">
        <v>36655.7537675434</v>
      </c>
      <c r="L174" s="22">
        <v>12273.916194774589</v>
      </c>
      <c r="M174" s="69">
        <v>0.33484282638439283</v>
      </c>
      <c r="N174" s="70">
        <v>1806254.7253418453</v>
      </c>
      <c r="O174" s="37">
        <v>1440761.5603023432</v>
      </c>
      <c r="P174" s="22">
        <v>365493.1650395021</v>
      </c>
      <c r="Q174" s="74">
        <v>0.25368053612063574</v>
      </c>
    </row>
    <row r="175" ht="22.5" customHeight="1">
      <c r="A175" s="66">
        <v>45959.0</v>
      </c>
      <c r="B175" s="68">
        <v>311023.4</v>
      </c>
      <c r="C175" s="68">
        <v>240415.81999999998</v>
      </c>
      <c r="D175" s="68">
        <v>70607.58000000005</v>
      </c>
      <c r="E175" s="69">
        <v>0.29368940862543924</v>
      </c>
      <c r="F175" s="70">
        <v>1514758.846296597</v>
      </c>
      <c r="G175" s="37">
        <v>1200345.7403023432</v>
      </c>
      <c r="H175" s="22">
        <v>314413.1059942539</v>
      </c>
      <c r="I175" s="69">
        <v>0.2619354536261023</v>
      </c>
      <c r="J175" s="22">
        <v>49473.14458571801</v>
      </c>
      <c r="K175" s="37">
        <v>36655.7537675434</v>
      </c>
      <c r="L175" s="22">
        <v>12817.390818174608</v>
      </c>
      <c r="M175" s="69">
        <v>0.3496692742824916</v>
      </c>
      <c r="N175" s="70">
        <v>1825782.2462965972</v>
      </c>
      <c r="O175" s="37">
        <v>1440761.5603023432</v>
      </c>
      <c r="P175" s="22">
        <v>385020.68599425396</v>
      </c>
      <c r="Q175" s="74">
        <v>0.2672341465811022</v>
      </c>
    </row>
    <row r="176" ht="22.5" customHeight="1">
      <c r="A176" s="66">
        <v>45960.0</v>
      </c>
      <c r="B176" s="68">
        <v>311023.4</v>
      </c>
      <c r="C176" s="68">
        <v>240415.81999999998</v>
      </c>
      <c r="D176" s="68">
        <v>70607.58000000005</v>
      </c>
      <c r="E176" s="69">
        <v>0.29368940862543924</v>
      </c>
      <c r="F176" s="70">
        <v>1522458.6276821448</v>
      </c>
      <c r="G176" s="37">
        <v>1200345.7403023432</v>
      </c>
      <c r="H176" s="22">
        <v>322112.8873798016</v>
      </c>
      <c r="I176" s="69">
        <v>0.2683500899488074</v>
      </c>
      <c r="J176" s="22">
        <v>49680.166149418</v>
      </c>
      <c r="K176" s="37">
        <v>36655.75376754339</v>
      </c>
      <c r="L176" s="22">
        <v>13024.412381874608</v>
      </c>
      <c r="M176" s="69">
        <v>0.3553169978298739</v>
      </c>
      <c r="N176" s="70">
        <v>1833482.0276821447</v>
      </c>
      <c r="O176" s="37">
        <v>1440761.5603023432</v>
      </c>
      <c r="P176" s="22">
        <v>392720.46737980144</v>
      </c>
      <c r="Q176" s="74">
        <v>0.2725783906237679</v>
      </c>
    </row>
    <row r="177" ht="22.5" customHeight="1">
      <c r="A177" s="66">
        <v>45961.0</v>
      </c>
      <c r="B177" s="68">
        <v>311112.55</v>
      </c>
      <c r="C177" s="68">
        <v>240415.81999999998</v>
      </c>
      <c r="D177" s="68">
        <v>70696.73000000001</v>
      </c>
      <c r="E177" s="69">
        <v>0.29406022448938685</v>
      </c>
      <c r="F177" s="70">
        <v>1472902.3348401217</v>
      </c>
      <c r="G177" s="37">
        <v>1200345.7403023432</v>
      </c>
      <c r="H177" s="22">
        <v>272556.5945377785</v>
      </c>
      <c r="I177" s="69">
        <v>0.22706507415865612</v>
      </c>
      <c r="J177" s="22">
        <v>47905.961966717994</v>
      </c>
      <c r="K177" s="37">
        <v>36655.75376754339</v>
      </c>
      <c r="L177" s="22">
        <v>11250.208199174602</v>
      </c>
      <c r="M177" s="69">
        <v>0.3069152054686713</v>
      </c>
      <c r="N177" s="70">
        <v>1784014.8848401217</v>
      </c>
      <c r="O177" s="37">
        <v>1440761.5603023432</v>
      </c>
      <c r="P177" s="22">
        <v>343253.3245377785</v>
      </c>
      <c r="Q177" s="74">
        <v>0.23824436603218851</v>
      </c>
    </row>
    <row r="178" ht="22.5" customHeight="1">
      <c r="A178" s="66">
        <v>45962.0</v>
      </c>
      <c r="B178" s="68">
        <v>312134.7</v>
      </c>
      <c r="C178" s="68">
        <v>240415.81999999998</v>
      </c>
      <c r="D178" s="68">
        <v>71718.88000000003</v>
      </c>
      <c r="E178" s="69">
        <v>0.2983118165851151</v>
      </c>
      <c r="F178" s="70">
        <v>1509301.0089758579</v>
      </c>
      <c r="G178" s="37">
        <v>1200345.7403023432</v>
      </c>
      <c r="H178" s="22">
        <v>308955.2686735147</v>
      </c>
      <c r="I178" s="69">
        <v>0.25738856589410236</v>
      </c>
      <c r="J178" s="22">
        <v>49063.01532631801</v>
      </c>
      <c r="K178" s="37">
        <v>36655.75376754339</v>
      </c>
      <c r="L178" s="22">
        <v>12407.261558774619</v>
      </c>
      <c r="M178" s="69">
        <v>0.3384806008207244</v>
      </c>
      <c r="N178" s="70">
        <v>1821435.7089758578</v>
      </c>
      <c r="O178" s="37">
        <v>1440761.5603023432</v>
      </c>
      <c r="P178" s="22">
        <v>380674.1486735146</v>
      </c>
      <c r="Q178" s="74">
        <v>0.2642173133725405</v>
      </c>
    </row>
    <row r="179" ht="22.5" customHeight="1">
      <c r="A179" s="66">
        <v>45965.0</v>
      </c>
      <c r="B179" s="68">
        <v>310347.85</v>
      </c>
      <c r="C179" s="68">
        <v>240415.81999999998</v>
      </c>
      <c r="D179" s="68">
        <v>69932.03</v>
      </c>
      <c r="E179" s="69">
        <v>0.29087948538494685</v>
      </c>
      <c r="F179" s="70">
        <v>1539144.9120500416</v>
      </c>
      <c r="G179" s="37">
        <v>1200345.7403023432</v>
      </c>
      <c r="H179" s="22">
        <v>338799.17174769845</v>
      </c>
      <c r="I179" s="69">
        <v>0.28225132174198553</v>
      </c>
      <c r="J179" s="22">
        <v>49787.957302518</v>
      </c>
      <c r="K179" s="37">
        <v>36655.75376754339</v>
      </c>
      <c r="L179" s="22">
        <v>13132.203534974607</v>
      </c>
      <c r="M179" s="69">
        <v>0.35825763175554814</v>
      </c>
      <c r="N179" s="70">
        <v>1849492.7620500415</v>
      </c>
      <c r="O179" s="37">
        <v>1440761.5603023432</v>
      </c>
      <c r="P179" s="22">
        <v>408731.20174769824</v>
      </c>
      <c r="Q179" s="74">
        <v>0.28369107908592883</v>
      </c>
    </row>
    <row r="180" ht="22.5" customHeight="1">
      <c r="A180" s="66">
        <v>45966.0</v>
      </c>
      <c r="B180" s="68">
        <v>309348.75</v>
      </c>
      <c r="C180" s="68">
        <v>240415.81999999998</v>
      </c>
      <c r="D180" s="68">
        <v>68932.93000000002</v>
      </c>
      <c r="E180" s="69">
        <v>0.28672376884349804</v>
      </c>
      <c r="F180" s="70">
        <v>1475184.333597388</v>
      </c>
      <c r="G180" s="37">
        <v>1200345.7403023432</v>
      </c>
      <c r="H180" s="22">
        <v>274838.59329504473</v>
      </c>
      <c r="I180" s="69">
        <v>0.2289661920454838</v>
      </c>
      <c r="J180" s="22">
        <v>47671.939556218</v>
      </c>
      <c r="K180" s="37">
        <v>36655.75376754339</v>
      </c>
      <c r="L180" s="22">
        <v>11016.185788674607</v>
      </c>
      <c r="M180" s="69">
        <v>0.30053087595838285</v>
      </c>
      <c r="N180" s="70">
        <v>1784533.083597388</v>
      </c>
      <c r="O180" s="37">
        <v>1440761.5603023432</v>
      </c>
      <c r="P180" s="22">
        <v>343771.52329504467</v>
      </c>
      <c r="Q180" s="74">
        <v>0.23860403606472147</v>
      </c>
    </row>
    <row r="181" ht="22.5" customHeight="1">
      <c r="A181" s="66">
        <v>45967.0</v>
      </c>
      <c r="B181" s="68">
        <v>304366.75</v>
      </c>
      <c r="C181" s="68">
        <v>240415.81999999998</v>
      </c>
      <c r="D181" s="68">
        <v>63950.93000000002</v>
      </c>
      <c r="E181" s="69">
        <v>0.2660013388470028</v>
      </c>
      <c r="F181" s="70">
        <v>1505131.212219167</v>
      </c>
      <c r="G181" s="37">
        <v>1200345.7403023432</v>
      </c>
      <c r="H181" s="22">
        <v>304785.4719168239</v>
      </c>
      <c r="I181" s="69">
        <v>0.2539147361326533</v>
      </c>
      <c r="J181" s="22">
        <v>48695.40724961797</v>
      </c>
      <c r="K181" s="37">
        <v>36655.75376754339</v>
      </c>
      <c r="L181" s="22">
        <v>12039.65348207458</v>
      </c>
      <c r="M181" s="69">
        <v>0.32845194122661897</v>
      </c>
      <c r="N181" s="70">
        <v>1809497.962219167</v>
      </c>
      <c r="O181" s="37">
        <v>1440761.5603023432</v>
      </c>
      <c r="P181" s="22">
        <v>368736.4019168238</v>
      </c>
      <c r="Q181" s="74">
        <v>0.25593159345495353</v>
      </c>
    </row>
    <row r="182" ht="22.5" customHeight="1">
      <c r="A182" s="66">
        <v>45968.0</v>
      </c>
      <c r="B182" s="68">
        <v>305254.25</v>
      </c>
      <c r="C182" s="68">
        <v>240415.81999999998</v>
      </c>
      <c r="D182" s="68">
        <v>64838.43000000002</v>
      </c>
      <c r="E182" s="69">
        <v>0.269692859646258</v>
      </c>
      <c r="F182" s="70">
        <v>1459738.992178313</v>
      </c>
      <c r="G182" s="37">
        <v>1200345.7403023432</v>
      </c>
      <c r="H182" s="22">
        <v>259393.2518759698</v>
      </c>
      <c r="I182" s="69">
        <v>0.21609878151492737</v>
      </c>
      <c r="J182" s="22">
        <v>47098.83787611801</v>
      </c>
      <c r="K182" s="37">
        <v>36655.75376754339</v>
      </c>
      <c r="L182" s="22">
        <v>10443.084108574614</v>
      </c>
      <c r="M182" s="69">
        <v>0.2848961768676376</v>
      </c>
      <c r="N182" s="70">
        <v>1764993.242178313</v>
      </c>
      <c r="O182" s="37">
        <v>1440761.5603023432</v>
      </c>
      <c r="P182" s="22">
        <v>324231.68187596975</v>
      </c>
      <c r="Q182" s="74">
        <v>0.22504187424873404</v>
      </c>
    </row>
    <row r="183" ht="22.5" customHeight="1">
      <c r="A183" s="66">
        <v>45971.0</v>
      </c>
      <c r="B183" s="68">
        <v>302118.1</v>
      </c>
      <c r="C183" s="68">
        <v>240415.81999999998</v>
      </c>
      <c r="D183" s="68">
        <v>61702.28</v>
      </c>
      <c r="E183" s="69">
        <v>0.2566481689932052</v>
      </c>
      <c r="F183" s="70">
        <v>1438236.1586861007</v>
      </c>
      <c r="G183" s="37">
        <v>1200345.7403023432</v>
      </c>
      <c r="H183" s="22">
        <v>237890.41838375758</v>
      </c>
      <c r="I183" s="69">
        <v>0.19818491489280224</v>
      </c>
      <c r="J183" s="22">
        <v>46426.164778918</v>
      </c>
      <c r="K183" s="37">
        <v>36655.75376754339</v>
      </c>
      <c r="L183" s="22">
        <v>9770.411011374606</v>
      </c>
      <c r="M183" s="69">
        <v>0.26654508520912634</v>
      </c>
      <c r="N183" s="70">
        <v>1740354.2586861006</v>
      </c>
      <c r="O183" s="37">
        <v>1440761.5603023432</v>
      </c>
      <c r="P183" s="22">
        <v>299592.6983837574</v>
      </c>
      <c r="Q183" s="74">
        <v>0.20794051329415533</v>
      </c>
    </row>
    <row r="184" ht="22.5" customHeight="1">
      <c r="A184" s="66">
        <v>45972.0</v>
      </c>
      <c r="B184" s="68">
        <v>305746.8</v>
      </c>
      <c r="C184" s="68">
        <v>240415.81999999998</v>
      </c>
      <c r="D184" s="68">
        <v>65330.98000000001</v>
      </c>
      <c r="E184" s="69">
        <v>0.2717416016965939</v>
      </c>
      <c r="F184" s="70">
        <v>1487170.4989505338</v>
      </c>
      <c r="G184" s="37">
        <v>1200345.7403023432</v>
      </c>
      <c r="H184" s="22">
        <v>286824.75864819065</v>
      </c>
      <c r="I184" s="69">
        <v>0.23895178615450013</v>
      </c>
      <c r="J184" s="22">
        <v>48004.212361218</v>
      </c>
      <c r="K184" s="37">
        <v>36655.75376754339</v>
      </c>
      <c r="L184" s="22">
        <v>11348.458593674608</v>
      </c>
      <c r="M184" s="69">
        <v>0.30959555942137057</v>
      </c>
      <c r="N184" s="70">
        <v>1792917.2989505338</v>
      </c>
      <c r="O184" s="37">
        <v>1440761.5603023432</v>
      </c>
      <c r="P184" s="22">
        <v>352155.7386481906</v>
      </c>
      <c r="Q184" s="74">
        <v>0.24442333023813523</v>
      </c>
    </row>
    <row r="185" ht="22.5" customHeight="1">
      <c r="A185" s="66">
        <v>45974.0</v>
      </c>
      <c r="B185" s="68">
        <v>305359.85000000003</v>
      </c>
      <c r="C185" s="68">
        <v>240415.81999999998</v>
      </c>
      <c r="D185" s="68">
        <v>64944.03000000006</v>
      </c>
      <c r="E185" s="69">
        <v>0.2701320986281188</v>
      </c>
      <c r="F185" s="70">
        <v>1459518.3611532177</v>
      </c>
      <c r="G185" s="37">
        <v>1200345.7403023432</v>
      </c>
      <c r="H185" s="22">
        <v>259172.62085087458</v>
      </c>
      <c r="I185" s="69">
        <v>0.2159149752850326</v>
      </c>
      <c r="J185" s="22">
        <v>46967.30386781799</v>
      </c>
      <c r="K185" s="37">
        <v>36655.75376754339</v>
      </c>
      <c r="L185" s="22">
        <v>10311.550100274595</v>
      </c>
      <c r="M185" s="69">
        <v>0.28130781774851654</v>
      </c>
      <c r="N185" s="70">
        <v>1764878.2111532178</v>
      </c>
      <c r="O185" s="37">
        <v>1440761.5603023432</v>
      </c>
      <c r="P185" s="22">
        <v>324116.6508508746</v>
      </c>
      <c r="Q185" s="74">
        <v>0.2249620338169342</v>
      </c>
    </row>
    <row r="186" ht="22.5" customHeight="1">
      <c r="A186" s="66">
        <v>45975.0</v>
      </c>
      <c r="B186" s="68">
        <v>303619.65</v>
      </c>
      <c r="C186" s="68">
        <v>240415.81999999998</v>
      </c>
      <c r="D186" s="68">
        <v>63203.830000000045</v>
      </c>
      <c r="E186" s="69">
        <v>0.2628938062395397</v>
      </c>
      <c r="F186" s="70">
        <v>1395018.3322203422</v>
      </c>
      <c r="G186" s="37">
        <v>1200345.7403023432</v>
      </c>
      <c r="H186" s="22">
        <v>194672.5919179991</v>
      </c>
      <c r="I186" s="69">
        <v>0.16218043300504814</v>
      </c>
      <c r="J186" s="22">
        <v>44809.356591717995</v>
      </c>
      <c r="K186" s="37">
        <v>36655.75376754339</v>
      </c>
      <c r="L186" s="22">
        <v>8153.602824174603</v>
      </c>
      <c r="M186" s="69">
        <v>0.2224371888757655</v>
      </c>
      <c r="N186" s="70">
        <v>1698637.9822203424</v>
      </c>
      <c r="O186" s="37">
        <v>1440761.5603023432</v>
      </c>
      <c r="P186" s="22">
        <v>257876.42191799916</v>
      </c>
      <c r="Q186" s="74">
        <v>0.17898618968143756</v>
      </c>
    </row>
    <row r="187" ht="22.5" customHeight="1">
      <c r="A187" s="66">
        <v>45976.0</v>
      </c>
      <c r="B187" s="68">
        <v>297697.95</v>
      </c>
      <c r="C187" s="68">
        <v>240415.81999999998</v>
      </c>
      <c r="D187" s="68">
        <v>57282.130000000034</v>
      </c>
      <c r="E187" s="69">
        <v>0.23826273162889214</v>
      </c>
      <c r="F187" s="70">
        <v>1377910.4885046184</v>
      </c>
      <c r="G187" s="37">
        <v>1200345.7403023432</v>
      </c>
      <c r="H187" s="22">
        <v>177564.74820227525</v>
      </c>
      <c r="I187" s="69">
        <v>0.14792800294151104</v>
      </c>
      <c r="J187" s="22">
        <v>45074.68190531799</v>
      </c>
      <c r="K187" s="37">
        <v>36655.75376754339</v>
      </c>
      <c r="L187" s="22">
        <v>8418.928137774601</v>
      </c>
      <c r="M187" s="69">
        <v>0.22967548808746877</v>
      </c>
      <c r="N187" s="70">
        <v>1675608.4385046184</v>
      </c>
      <c r="O187" s="37">
        <v>1440761.5603023432</v>
      </c>
      <c r="P187" s="22">
        <v>234846.87820227514</v>
      </c>
      <c r="Q187" s="74">
        <v>0.16300190446016108</v>
      </c>
    </row>
    <row r="188" ht="22.5" customHeight="1">
      <c r="A188" s="66">
        <v>45979.0</v>
      </c>
      <c r="B188" s="68">
        <v>299174.15</v>
      </c>
      <c r="C188" s="68">
        <v>240415.81999999998</v>
      </c>
      <c r="D188" s="68">
        <v>58758.330000000045</v>
      </c>
      <c r="E188" s="69">
        <v>0.2444029265628196</v>
      </c>
      <c r="F188" s="70">
        <v>1318166.1631103992</v>
      </c>
      <c r="G188" s="37">
        <v>1111114.8503342143</v>
      </c>
      <c r="H188" s="22">
        <v>207051.31277618487</v>
      </c>
      <c r="I188" s="69">
        <v>0.18634555438972444</v>
      </c>
      <c r="J188" s="22">
        <v>42264.222718818004</v>
      </c>
      <c r="K188" s="37">
        <v>33937.5737675434</v>
      </c>
      <c r="L188" s="22">
        <v>8326.648951274605</v>
      </c>
      <c r="M188" s="69">
        <v>0.24535192198205677</v>
      </c>
      <c r="N188" s="70">
        <v>1617340.313110399</v>
      </c>
      <c r="O188" s="37">
        <v>1351530.6703342143</v>
      </c>
      <c r="P188" s="22">
        <v>265809.6427761847</v>
      </c>
      <c r="Q188" s="74">
        <v>0.19667303791963062</v>
      </c>
    </row>
    <row r="189" ht="22.5" customHeight="1">
      <c r="A189" s="66">
        <v>45980.0</v>
      </c>
      <c r="B189" s="68">
        <v>291898.4</v>
      </c>
      <c r="C189" s="68">
        <v>240415.81999999998</v>
      </c>
      <c r="D189" s="68">
        <v>51482.580000000045</v>
      </c>
      <c r="E189" s="69">
        <v>0.21413973506402387</v>
      </c>
      <c r="F189" s="70">
        <v>1297969.5819703266</v>
      </c>
      <c r="G189" s="37">
        <v>1111114.8503342143</v>
      </c>
      <c r="H189" s="22">
        <v>186854.73163611232</v>
      </c>
      <c r="I189" s="69">
        <v>0.16816869253426678</v>
      </c>
      <c r="J189" s="22">
        <v>41680.28234031801</v>
      </c>
      <c r="K189" s="37">
        <v>33937.5737675434</v>
      </c>
      <c r="L189" s="22">
        <v>7742.708572774609</v>
      </c>
      <c r="M189" s="69">
        <v>0.22814561305438516</v>
      </c>
      <c r="N189" s="70">
        <v>1589867.9819703265</v>
      </c>
      <c r="O189" s="37">
        <v>1351530.6703342143</v>
      </c>
      <c r="P189" s="22">
        <v>238337.31163611216</v>
      </c>
      <c r="Q189" s="74">
        <v>0.1763462101656744</v>
      </c>
    </row>
    <row r="190" ht="22.5" customHeight="1">
      <c r="A190" s="66">
        <v>45981.0</v>
      </c>
      <c r="B190" s="68">
        <v>289885.5</v>
      </c>
      <c r="C190" s="68">
        <v>240415.81999999998</v>
      </c>
      <c r="D190" s="68">
        <v>49469.68000000002</v>
      </c>
      <c r="E190" s="69">
        <v>0.20576715791831016</v>
      </c>
      <c r="F190" s="70">
        <v>1307924.179886034</v>
      </c>
      <c r="G190" s="37">
        <v>1111114.8503342143</v>
      </c>
      <c r="H190" s="22">
        <v>196809.3295518197</v>
      </c>
      <c r="I190" s="69">
        <v>0.17712780050831026</v>
      </c>
      <c r="J190" s="22">
        <v>41898.22050011801</v>
      </c>
      <c r="K190" s="37">
        <v>33937.5737675434</v>
      </c>
      <c r="L190" s="22">
        <v>7960.6467325746125</v>
      </c>
      <c r="M190" s="69">
        <v>0.23456734966091983</v>
      </c>
      <c r="N190" s="70">
        <v>1597809.679886034</v>
      </c>
      <c r="O190" s="37">
        <v>1351530.6703342143</v>
      </c>
      <c r="P190" s="22">
        <v>246279.00955181965</v>
      </c>
      <c r="Q190" s="74">
        <v>0.18222228689114273</v>
      </c>
    </row>
    <row r="191" ht="22.5" customHeight="1">
      <c r="A191" s="66"/>
      <c r="B191" s="68"/>
      <c r="C191" s="68"/>
      <c r="D191" s="68"/>
      <c r="E191" s="69"/>
      <c r="F191" s="70"/>
      <c r="G191" s="37"/>
      <c r="H191" s="22"/>
      <c r="I191" s="69"/>
      <c r="J191" s="22"/>
      <c r="K191" s="37"/>
      <c r="L191" s="22"/>
      <c r="M191" s="69"/>
      <c r="N191" s="70"/>
      <c r="O191" s="37"/>
      <c r="P191" s="22"/>
      <c r="Q191" s="74"/>
    </row>
    <row r="192">
      <c r="A192" s="75"/>
      <c r="B192" s="49"/>
      <c r="C192" s="49"/>
      <c r="D192" s="49"/>
      <c r="E192" s="76"/>
      <c r="F192" s="77"/>
      <c r="I192" s="76"/>
      <c r="M192" s="76"/>
      <c r="N192" s="77"/>
      <c r="Q192" s="76"/>
    </row>
    <row r="193">
      <c r="A193" s="75"/>
      <c r="B193" s="49"/>
      <c r="C193" s="49"/>
      <c r="D193" s="49"/>
      <c r="E193" s="76"/>
      <c r="F193" s="77"/>
      <c r="I193" s="76"/>
      <c r="M193" s="76"/>
      <c r="N193" s="77"/>
      <c r="Q193" s="76"/>
    </row>
    <row r="194">
      <c r="A194" s="75"/>
      <c r="B194" s="49"/>
      <c r="C194" s="49"/>
      <c r="D194" s="49"/>
      <c r="E194" s="76"/>
      <c r="F194" s="77"/>
      <c r="I194" s="76"/>
      <c r="M194" s="76"/>
      <c r="N194" s="77"/>
      <c r="Q194" s="76"/>
    </row>
    <row r="195">
      <c r="A195" s="75"/>
      <c r="B195" s="49"/>
      <c r="C195" s="49"/>
      <c r="D195" s="49"/>
      <c r="E195" s="76"/>
      <c r="F195" s="77"/>
      <c r="I195" s="76"/>
      <c r="M195" s="76"/>
      <c r="N195" s="77"/>
      <c r="Q195" s="76"/>
    </row>
    <row r="196">
      <c r="A196" s="75"/>
      <c r="B196" s="49"/>
      <c r="C196" s="49"/>
      <c r="D196" s="49"/>
      <c r="E196" s="76"/>
      <c r="F196" s="77"/>
      <c r="I196" s="76"/>
      <c r="M196" s="76"/>
      <c r="N196" s="77"/>
      <c r="Q196" s="76"/>
    </row>
    <row r="197">
      <c r="A197" s="75"/>
      <c r="B197" s="49"/>
      <c r="C197" s="49"/>
      <c r="D197" s="49"/>
      <c r="E197" s="76"/>
      <c r="F197" s="77"/>
      <c r="I197" s="76"/>
      <c r="M197" s="76"/>
      <c r="N197" s="77"/>
      <c r="Q197" s="76"/>
    </row>
    <row r="198">
      <c r="A198" s="75"/>
      <c r="B198" s="49"/>
      <c r="C198" s="49"/>
      <c r="D198" s="49"/>
      <c r="E198" s="76"/>
      <c r="F198" s="77"/>
      <c r="I198" s="76"/>
      <c r="M198" s="76"/>
      <c r="N198" s="77"/>
      <c r="Q198" s="76"/>
    </row>
    <row r="199">
      <c r="A199" s="75"/>
      <c r="B199" s="49"/>
      <c r="C199" s="49"/>
      <c r="D199" s="49"/>
      <c r="E199" s="76"/>
      <c r="F199" s="77"/>
      <c r="I199" s="76"/>
      <c r="M199" s="76"/>
      <c r="N199" s="77"/>
      <c r="Q199" s="76"/>
    </row>
    <row r="200">
      <c r="A200" s="75"/>
      <c r="B200" s="49"/>
      <c r="C200" s="49"/>
      <c r="D200" s="49"/>
      <c r="E200" s="76"/>
      <c r="F200" s="77"/>
      <c r="I200" s="76"/>
      <c r="M200" s="76"/>
      <c r="N200" s="77"/>
      <c r="Q200" s="76"/>
    </row>
    <row r="201">
      <c r="A201" s="75"/>
      <c r="B201" s="49"/>
      <c r="C201" s="49"/>
      <c r="D201" s="49"/>
      <c r="E201" s="76"/>
      <c r="F201" s="77"/>
      <c r="I201" s="76"/>
      <c r="M201" s="76"/>
      <c r="N201" s="77"/>
      <c r="Q201" s="76"/>
    </row>
    <row r="202">
      <c r="A202" s="75"/>
      <c r="B202" s="49"/>
      <c r="C202" s="49"/>
      <c r="D202" s="49"/>
      <c r="E202" s="76"/>
      <c r="F202" s="77"/>
      <c r="I202" s="76"/>
      <c r="M202" s="76"/>
      <c r="N202" s="77"/>
      <c r="Q202" s="76"/>
    </row>
    <row r="203">
      <c r="A203" s="75"/>
      <c r="B203" s="49"/>
      <c r="C203" s="49"/>
      <c r="D203" s="49"/>
      <c r="E203" s="76"/>
      <c r="F203" s="77"/>
      <c r="I203" s="76"/>
      <c r="M203" s="76"/>
      <c r="N203" s="77"/>
      <c r="Q203" s="76"/>
    </row>
    <row r="204">
      <c r="A204" s="75"/>
      <c r="B204" s="49"/>
      <c r="C204" s="49"/>
      <c r="D204" s="49"/>
      <c r="E204" s="76"/>
      <c r="F204" s="77"/>
      <c r="I204" s="76"/>
      <c r="M204" s="76"/>
      <c r="N204" s="77"/>
      <c r="Q204" s="76"/>
    </row>
    <row r="205">
      <c r="A205" s="75"/>
      <c r="B205" s="49"/>
      <c r="C205" s="49"/>
      <c r="D205" s="49"/>
      <c r="E205" s="76"/>
      <c r="F205" s="77"/>
      <c r="I205" s="76"/>
      <c r="M205" s="76"/>
      <c r="N205" s="77"/>
      <c r="Q205" s="76"/>
    </row>
    <row r="206">
      <c r="A206" s="75"/>
      <c r="B206" s="49"/>
      <c r="C206" s="49"/>
      <c r="D206" s="49"/>
      <c r="E206" s="76"/>
      <c r="F206" s="77"/>
      <c r="I206" s="76"/>
      <c r="M206" s="76"/>
      <c r="N206" s="77"/>
      <c r="Q206" s="76"/>
    </row>
    <row r="207">
      <c r="A207" s="75"/>
      <c r="B207" s="49"/>
      <c r="C207" s="49"/>
      <c r="D207" s="49"/>
      <c r="E207" s="76"/>
      <c r="F207" s="77"/>
      <c r="I207" s="76"/>
      <c r="M207" s="76"/>
      <c r="N207" s="77"/>
      <c r="Q207" s="76"/>
    </row>
    <row r="208">
      <c r="A208" s="75"/>
      <c r="B208" s="49"/>
      <c r="C208" s="49"/>
      <c r="D208" s="49"/>
      <c r="E208" s="76"/>
      <c r="F208" s="77"/>
      <c r="I208" s="76"/>
      <c r="M208" s="76"/>
      <c r="N208" s="77"/>
      <c r="Q208" s="76"/>
    </row>
    <row r="209">
      <c r="A209" s="75"/>
      <c r="B209" s="49"/>
      <c r="C209" s="49"/>
      <c r="D209" s="49"/>
      <c r="E209" s="76"/>
      <c r="F209" s="77"/>
      <c r="I209" s="76"/>
      <c r="M209" s="76"/>
      <c r="N209" s="77"/>
      <c r="Q209" s="76"/>
    </row>
    <row r="210">
      <c r="A210" s="75"/>
      <c r="B210" s="49"/>
      <c r="C210" s="49"/>
      <c r="D210" s="49"/>
      <c r="E210" s="76"/>
      <c r="F210" s="77"/>
      <c r="I210" s="76"/>
      <c r="M210" s="76"/>
      <c r="N210" s="77"/>
      <c r="Q210" s="76"/>
    </row>
    <row r="211">
      <c r="A211" s="75"/>
      <c r="B211" s="49"/>
      <c r="C211" s="49"/>
      <c r="D211" s="49"/>
      <c r="E211" s="76"/>
      <c r="F211" s="77"/>
      <c r="I211" s="76"/>
      <c r="M211" s="76"/>
      <c r="N211" s="77"/>
      <c r="Q211" s="76"/>
    </row>
    <row r="212">
      <c r="A212" s="75"/>
      <c r="B212" s="49"/>
      <c r="C212" s="49"/>
      <c r="D212" s="49"/>
      <c r="E212" s="76"/>
      <c r="F212" s="77"/>
      <c r="I212" s="76"/>
      <c r="M212" s="76"/>
      <c r="N212" s="77"/>
      <c r="Q212" s="76"/>
    </row>
    <row r="213">
      <c r="A213" s="75"/>
      <c r="B213" s="49"/>
      <c r="C213" s="49"/>
      <c r="D213" s="49"/>
      <c r="E213" s="76"/>
      <c r="F213" s="77"/>
      <c r="I213" s="76"/>
      <c r="M213" s="76"/>
      <c r="N213" s="77"/>
      <c r="Q213" s="76"/>
    </row>
    <row r="214">
      <c r="A214" s="75"/>
      <c r="B214" s="49"/>
      <c r="C214" s="49"/>
      <c r="D214" s="49"/>
      <c r="E214" s="76"/>
      <c r="F214" s="77"/>
      <c r="I214" s="76"/>
      <c r="M214" s="76"/>
      <c r="N214" s="77"/>
      <c r="Q214" s="76"/>
    </row>
    <row r="215">
      <c r="A215" s="75"/>
      <c r="B215" s="49"/>
      <c r="C215" s="49"/>
      <c r="D215" s="49"/>
      <c r="E215" s="76"/>
      <c r="F215" s="77"/>
      <c r="I215" s="76"/>
      <c r="M215" s="76"/>
      <c r="N215" s="77"/>
      <c r="Q215" s="76"/>
    </row>
    <row r="216">
      <c r="A216" s="75"/>
      <c r="B216" s="49"/>
      <c r="C216" s="49"/>
      <c r="D216" s="49"/>
      <c r="E216" s="76"/>
      <c r="F216" s="77"/>
      <c r="I216" s="76"/>
      <c r="M216" s="76"/>
      <c r="N216" s="77"/>
      <c r="Q216" s="76"/>
    </row>
    <row r="217">
      <c r="A217" s="75"/>
      <c r="B217" s="49"/>
      <c r="C217" s="49"/>
      <c r="D217" s="49"/>
      <c r="E217" s="76"/>
      <c r="F217" s="77"/>
      <c r="I217" s="76"/>
      <c r="M217" s="76"/>
      <c r="N217" s="77"/>
      <c r="Q217" s="76"/>
    </row>
    <row r="218">
      <c r="A218" s="75"/>
      <c r="B218" s="49"/>
      <c r="C218" s="49"/>
      <c r="D218" s="49"/>
      <c r="E218" s="76"/>
      <c r="F218" s="77"/>
      <c r="I218" s="76"/>
      <c r="M218" s="76"/>
      <c r="N218" s="77"/>
      <c r="Q218" s="76"/>
    </row>
    <row r="219">
      <c r="A219" s="75"/>
      <c r="B219" s="49"/>
      <c r="C219" s="49"/>
      <c r="D219" s="49"/>
      <c r="E219" s="76"/>
      <c r="F219" s="77"/>
      <c r="I219" s="76"/>
      <c r="M219" s="76"/>
      <c r="N219" s="77"/>
      <c r="Q219" s="76"/>
    </row>
    <row r="220">
      <c r="A220" s="75"/>
      <c r="B220" s="49"/>
      <c r="C220" s="49"/>
      <c r="D220" s="49"/>
      <c r="E220" s="76"/>
      <c r="F220" s="77"/>
      <c r="I220" s="76"/>
      <c r="M220" s="76"/>
      <c r="N220" s="77"/>
      <c r="Q220" s="76"/>
    </row>
    <row r="221">
      <c r="A221" s="75"/>
      <c r="B221" s="49"/>
      <c r="C221" s="49"/>
      <c r="D221" s="49"/>
      <c r="E221" s="76"/>
      <c r="F221" s="77"/>
      <c r="I221" s="76"/>
      <c r="M221" s="76"/>
      <c r="N221" s="77"/>
      <c r="Q221" s="76"/>
    </row>
    <row r="222">
      <c r="A222" s="75"/>
      <c r="B222" s="49"/>
      <c r="C222" s="49"/>
      <c r="D222" s="49"/>
      <c r="E222" s="76"/>
      <c r="F222" s="77"/>
      <c r="I222" s="76"/>
      <c r="M222" s="76"/>
      <c r="N222" s="77"/>
      <c r="Q222" s="76"/>
    </row>
    <row r="223">
      <c r="A223" s="75"/>
      <c r="B223" s="49"/>
      <c r="C223" s="49"/>
      <c r="D223" s="49"/>
      <c r="E223" s="76"/>
      <c r="F223" s="77"/>
      <c r="I223" s="76"/>
      <c r="M223" s="76"/>
      <c r="N223" s="77"/>
      <c r="Q223" s="76"/>
    </row>
    <row r="224">
      <c r="A224" s="75"/>
      <c r="B224" s="49"/>
      <c r="C224" s="49"/>
      <c r="D224" s="49"/>
      <c r="E224" s="76"/>
      <c r="F224" s="77"/>
      <c r="I224" s="76"/>
      <c r="M224" s="76"/>
      <c r="N224" s="77"/>
      <c r="Q224" s="76"/>
    </row>
    <row r="225">
      <c r="A225" s="75"/>
      <c r="B225" s="49"/>
      <c r="C225" s="49"/>
      <c r="D225" s="49"/>
      <c r="E225" s="76"/>
      <c r="F225" s="77"/>
      <c r="I225" s="76"/>
      <c r="M225" s="76"/>
      <c r="N225" s="77"/>
      <c r="Q225" s="76"/>
    </row>
    <row r="226">
      <c r="A226" s="75"/>
      <c r="B226" s="49"/>
      <c r="C226" s="49"/>
      <c r="D226" s="49"/>
      <c r="E226" s="76"/>
      <c r="F226" s="77"/>
      <c r="I226" s="76"/>
      <c r="M226" s="76"/>
      <c r="N226" s="77"/>
      <c r="Q226" s="76"/>
    </row>
    <row r="227">
      <c r="A227" s="75"/>
      <c r="B227" s="49"/>
      <c r="C227" s="49"/>
      <c r="D227" s="49"/>
      <c r="E227" s="76"/>
      <c r="F227" s="77"/>
      <c r="I227" s="76"/>
      <c r="M227" s="76"/>
      <c r="N227" s="77"/>
      <c r="Q227" s="76"/>
    </row>
    <row r="228">
      <c r="A228" s="75"/>
      <c r="B228" s="49"/>
      <c r="C228" s="49"/>
      <c r="D228" s="49"/>
      <c r="E228" s="76"/>
      <c r="F228" s="77"/>
      <c r="I228" s="76"/>
      <c r="M228" s="76"/>
      <c r="N228" s="77"/>
      <c r="Q228" s="76"/>
    </row>
    <row r="229">
      <c r="A229" s="75"/>
      <c r="B229" s="49"/>
      <c r="C229" s="49"/>
      <c r="D229" s="49"/>
      <c r="E229" s="76"/>
      <c r="F229" s="77"/>
      <c r="I229" s="76"/>
      <c r="M229" s="76"/>
      <c r="N229" s="77"/>
      <c r="Q229" s="76"/>
    </row>
    <row r="230">
      <c r="A230" s="75"/>
      <c r="B230" s="49"/>
      <c r="C230" s="49"/>
      <c r="D230" s="49"/>
      <c r="E230" s="76"/>
      <c r="F230" s="77"/>
      <c r="I230" s="76"/>
      <c r="M230" s="76"/>
      <c r="N230" s="77"/>
      <c r="Q230" s="76"/>
    </row>
    <row r="231">
      <c r="A231" s="75"/>
      <c r="B231" s="49"/>
      <c r="C231" s="49"/>
      <c r="D231" s="49"/>
      <c r="E231" s="76"/>
      <c r="F231" s="77"/>
      <c r="I231" s="76"/>
      <c r="M231" s="76"/>
      <c r="N231" s="77"/>
      <c r="Q231" s="76"/>
    </row>
    <row r="232">
      <c r="A232" s="75"/>
      <c r="B232" s="49"/>
      <c r="C232" s="49"/>
      <c r="D232" s="49"/>
      <c r="E232" s="76"/>
      <c r="F232" s="77"/>
      <c r="I232" s="76"/>
      <c r="M232" s="76"/>
      <c r="N232" s="77"/>
      <c r="Q232" s="76"/>
    </row>
    <row r="233">
      <c r="A233" s="75"/>
      <c r="B233" s="49"/>
      <c r="C233" s="49"/>
      <c r="D233" s="49"/>
      <c r="E233" s="76"/>
      <c r="F233" s="77"/>
      <c r="I233" s="76"/>
      <c r="M233" s="76"/>
      <c r="N233" s="77"/>
      <c r="Q233" s="76"/>
    </row>
    <row r="234">
      <c r="A234" s="75"/>
      <c r="B234" s="49"/>
      <c r="C234" s="49"/>
      <c r="D234" s="49"/>
      <c r="E234" s="76"/>
      <c r="F234" s="77"/>
      <c r="I234" s="76"/>
      <c r="M234" s="76"/>
      <c r="N234" s="77"/>
      <c r="Q234" s="76"/>
    </row>
    <row r="235">
      <c r="A235" s="75"/>
      <c r="B235" s="49"/>
      <c r="C235" s="49"/>
      <c r="D235" s="49"/>
      <c r="E235" s="76"/>
      <c r="F235" s="77"/>
      <c r="I235" s="76"/>
      <c r="M235" s="76"/>
      <c r="N235" s="77"/>
      <c r="Q235" s="76"/>
    </row>
    <row r="236">
      <c r="A236" s="75"/>
      <c r="B236" s="49"/>
      <c r="C236" s="49"/>
      <c r="D236" s="49"/>
      <c r="E236" s="76"/>
      <c r="F236" s="77"/>
      <c r="I236" s="76"/>
      <c r="M236" s="76"/>
      <c r="N236" s="77"/>
      <c r="Q236" s="76"/>
    </row>
    <row r="237">
      <c r="A237" s="75"/>
      <c r="B237" s="49"/>
      <c r="C237" s="49"/>
      <c r="D237" s="49"/>
      <c r="E237" s="76"/>
      <c r="F237" s="77"/>
      <c r="I237" s="76"/>
      <c r="M237" s="76"/>
      <c r="N237" s="77"/>
      <c r="Q237" s="76"/>
    </row>
    <row r="238">
      <c r="A238" s="75"/>
      <c r="B238" s="49"/>
      <c r="C238" s="49"/>
      <c r="D238" s="49"/>
      <c r="E238" s="76"/>
      <c r="F238" s="77"/>
      <c r="I238" s="76"/>
      <c r="M238" s="76"/>
      <c r="N238" s="77"/>
      <c r="Q238" s="76"/>
    </row>
    <row r="239">
      <c r="A239" s="75"/>
      <c r="B239" s="49"/>
      <c r="C239" s="49"/>
      <c r="D239" s="49"/>
      <c r="E239" s="76"/>
      <c r="F239" s="77"/>
      <c r="I239" s="76"/>
      <c r="M239" s="76"/>
      <c r="N239" s="77"/>
      <c r="Q239" s="76"/>
    </row>
    <row r="240">
      <c r="A240" s="75"/>
      <c r="B240" s="49"/>
      <c r="C240" s="49"/>
      <c r="D240" s="49"/>
      <c r="E240" s="76"/>
      <c r="F240" s="77"/>
      <c r="I240" s="76"/>
      <c r="M240" s="76"/>
      <c r="N240" s="77"/>
      <c r="Q240" s="76"/>
    </row>
    <row r="241">
      <c r="A241" s="75"/>
      <c r="B241" s="49"/>
      <c r="C241" s="49"/>
      <c r="D241" s="49"/>
      <c r="E241" s="76"/>
      <c r="F241" s="77"/>
      <c r="I241" s="76"/>
      <c r="M241" s="76"/>
      <c r="N241" s="77"/>
      <c r="Q241" s="76"/>
    </row>
    <row r="242">
      <c r="A242" s="75"/>
      <c r="B242" s="49"/>
      <c r="C242" s="49"/>
      <c r="D242" s="49"/>
      <c r="E242" s="76"/>
      <c r="F242" s="77"/>
      <c r="I242" s="76"/>
      <c r="M242" s="76"/>
      <c r="N242" s="77"/>
      <c r="Q242" s="76"/>
    </row>
    <row r="243">
      <c r="A243" s="75"/>
      <c r="B243" s="49"/>
      <c r="C243" s="49"/>
      <c r="D243" s="49"/>
      <c r="E243" s="76"/>
      <c r="F243" s="77"/>
      <c r="I243" s="76"/>
      <c r="M243" s="76"/>
      <c r="N243" s="77"/>
      <c r="Q243" s="76"/>
    </row>
    <row r="244">
      <c r="A244" s="75"/>
      <c r="B244" s="49"/>
      <c r="C244" s="49"/>
      <c r="D244" s="49"/>
      <c r="E244" s="76"/>
      <c r="F244" s="77"/>
      <c r="I244" s="76"/>
      <c r="M244" s="76"/>
      <c r="N244" s="77"/>
      <c r="Q244" s="76"/>
    </row>
    <row r="245">
      <c r="A245" s="75"/>
      <c r="B245" s="49"/>
      <c r="C245" s="49"/>
      <c r="D245" s="49"/>
      <c r="E245" s="76"/>
      <c r="F245" s="77"/>
      <c r="I245" s="76"/>
      <c r="M245" s="76"/>
      <c r="N245" s="77"/>
      <c r="Q245" s="76"/>
    </row>
    <row r="246">
      <c r="A246" s="75"/>
      <c r="B246" s="49"/>
      <c r="C246" s="49"/>
      <c r="D246" s="49"/>
      <c r="E246" s="76"/>
      <c r="F246" s="77"/>
      <c r="I246" s="76"/>
      <c r="M246" s="76"/>
      <c r="N246" s="77"/>
      <c r="Q246" s="76"/>
    </row>
    <row r="247">
      <c r="A247" s="75"/>
      <c r="B247" s="49"/>
      <c r="C247" s="49"/>
      <c r="D247" s="49"/>
      <c r="E247" s="76"/>
      <c r="F247" s="77"/>
      <c r="I247" s="76"/>
      <c r="M247" s="76"/>
      <c r="N247" s="77"/>
      <c r="Q247" s="76"/>
    </row>
    <row r="248">
      <c r="A248" s="75"/>
      <c r="B248" s="49"/>
      <c r="C248" s="49"/>
      <c r="D248" s="49"/>
      <c r="E248" s="76"/>
      <c r="F248" s="77"/>
      <c r="I248" s="76"/>
      <c r="M248" s="76"/>
      <c r="N248" s="77"/>
      <c r="Q248" s="76"/>
    </row>
    <row r="249">
      <c r="A249" s="75"/>
      <c r="B249" s="49"/>
      <c r="C249" s="49"/>
      <c r="D249" s="49"/>
      <c r="E249" s="76"/>
      <c r="F249" s="77"/>
      <c r="I249" s="76"/>
      <c r="M249" s="76"/>
      <c r="N249" s="77"/>
      <c r="Q249" s="76"/>
    </row>
    <row r="250">
      <c r="A250" s="75"/>
      <c r="B250" s="49"/>
      <c r="C250" s="49"/>
      <c r="D250" s="49"/>
      <c r="E250" s="76"/>
      <c r="F250" s="77"/>
      <c r="I250" s="76"/>
      <c r="M250" s="76"/>
      <c r="N250" s="77"/>
      <c r="Q250" s="76"/>
    </row>
    <row r="251">
      <c r="A251" s="75"/>
      <c r="B251" s="49"/>
      <c r="C251" s="49"/>
      <c r="D251" s="49"/>
      <c r="E251" s="76"/>
      <c r="F251" s="77"/>
      <c r="I251" s="76"/>
      <c r="M251" s="76"/>
      <c r="N251" s="77"/>
      <c r="Q251" s="76"/>
    </row>
    <row r="252">
      <c r="A252" s="75"/>
      <c r="B252" s="49"/>
      <c r="C252" s="49"/>
      <c r="D252" s="49"/>
      <c r="E252" s="76"/>
      <c r="F252" s="77"/>
      <c r="I252" s="76"/>
      <c r="M252" s="76"/>
      <c r="N252" s="77"/>
      <c r="Q252" s="76"/>
    </row>
    <row r="253">
      <c r="A253" s="75"/>
      <c r="B253" s="49"/>
      <c r="C253" s="49"/>
      <c r="D253" s="49"/>
      <c r="E253" s="76"/>
      <c r="F253" s="77"/>
      <c r="I253" s="76"/>
      <c r="M253" s="76"/>
      <c r="N253" s="77"/>
      <c r="Q253" s="76"/>
    </row>
    <row r="254">
      <c r="A254" s="75"/>
      <c r="B254" s="49"/>
      <c r="C254" s="49"/>
      <c r="D254" s="49"/>
      <c r="E254" s="76"/>
      <c r="F254" s="77"/>
      <c r="I254" s="76"/>
      <c r="M254" s="76"/>
      <c r="N254" s="77"/>
      <c r="Q254" s="76"/>
    </row>
    <row r="255">
      <c r="A255" s="75"/>
      <c r="B255" s="49"/>
      <c r="C255" s="49"/>
      <c r="D255" s="49"/>
      <c r="E255" s="76"/>
      <c r="F255" s="77"/>
      <c r="I255" s="76"/>
      <c r="M255" s="76"/>
      <c r="N255" s="77"/>
      <c r="Q255" s="76"/>
    </row>
    <row r="256">
      <c r="A256" s="75"/>
      <c r="B256" s="49"/>
      <c r="C256" s="49"/>
      <c r="D256" s="49"/>
      <c r="E256" s="76"/>
      <c r="F256" s="77"/>
      <c r="I256" s="76"/>
      <c r="M256" s="76"/>
      <c r="N256" s="77"/>
      <c r="Q256" s="76"/>
    </row>
    <row r="257">
      <c r="A257" s="75"/>
      <c r="B257" s="49"/>
      <c r="C257" s="49"/>
      <c r="D257" s="49"/>
      <c r="E257" s="76"/>
      <c r="F257" s="77"/>
      <c r="I257" s="76"/>
      <c r="M257" s="76"/>
      <c r="N257" s="77"/>
      <c r="Q257" s="76"/>
    </row>
    <row r="258">
      <c r="A258" s="75"/>
      <c r="B258" s="49"/>
      <c r="C258" s="49"/>
      <c r="D258" s="49"/>
      <c r="E258" s="76"/>
      <c r="F258" s="77"/>
      <c r="I258" s="76"/>
      <c r="M258" s="76"/>
      <c r="N258" s="77"/>
      <c r="Q258" s="76"/>
    </row>
    <row r="259">
      <c r="A259" s="75"/>
      <c r="B259" s="49"/>
      <c r="C259" s="49"/>
      <c r="D259" s="49"/>
      <c r="E259" s="76"/>
      <c r="F259" s="77"/>
      <c r="I259" s="76"/>
      <c r="M259" s="76"/>
      <c r="N259" s="77"/>
      <c r="Q259" s="76"/>
    </row>
    <row r="260">
      <c r="A260" s="75"/>
      <c r="B260" s="49"/>
      <c r="C260" s="49"/>
      <c r="D260" s="49"/>
      <c r="E260" s="76"/>
      <c r="F260" s="77"/>
      <c r="I260" s="76"/>
      <c r="M260" s="76"/>
      <c r="N260" s="77"/>
      <c r="Q260" s="76"/>
    </row>
    <row r="261">
      <c r="A261" s="75"/>
      <c r="B261" s="49"/>
      <c r="C261" s="49"/>
      <c r="D261" s="49"/>
      <c r="E261" s="76"/>
      <c r="F261" s="77"/>
      <c r="I261" s="76"/>
      <c r="M261" s="76"/>
      <c r="N261" s="77"/>
      <c r="Q261" s="76"/>
    </row>
    <row r="262">
      <c r="A262" s="75"/>
      <c r="B262" s="49"/>
      <c r="C262" s="49"/>
      <c r="D262" s="49"/>
      <c r="E262" s="76"/>
      <c r="F262" s="77"/>
      <c r="I262" s="76"/>
      <c r="M262" s="76"/>
      <c r="N262" s="77"/>
      <c r="Q262" s="76"/>
    </row>
    <row r="263">
      <c r="A263" s="75"/>
      <c r="B263" s="49"/>
      <c r="C263" s="49"/>
      <c r="D263" s="49"/>
      <c r="E263" s="76"/>
      <c r="F263" s="77"/>
      <c r="I263" s="76"/>
      <c r="M263" s="76"/>
      <c r="N263" s="77"/>
      <c r="Q263" s="76"/>
    </row>
    <row r="264">
      <c r="A264" s="75"/>
      <c r="B264" s="49"/>
      <c r="C264" s="49"/>
      <c r="D264" s="49"/>
      <c r="E264" s="76"/>
      <c r="F264" s="77"/>
      <c r="I264" s="76"/>
      <c r="M264" s="76"/>
      <c r="N264" s="77"/>
      <c r="Q264" s="76"/>
    </row>
    <row r="265">
      <c r="A265" s="75"/>
      <c r="B265" s="49"/>
      <c r="C265" s="49"/>
      <c r="D265" s="49"/>
      <c r="E265" s="76"/>
      <c r="F265" s="77"/>
      <c r="I265" s="76"/>
      <c r="M265" s="76"/>
      <c r="N265" s="77"/>
      <c r="Q265" s="76"/>
    </row>
    <row r="266">
      <c r="A266" s="75"/>
      <c r="B266" s="49"/>
      <c r="C266" s="49"/>
      <c r="D266" s="49"/>
      <c r="E266" s="76"/>
      <c r="F266" s="77"/>
      <c r="I266" s="76"/>
      <c r="M266" s="76"/>
      <c r="N266" s="77"/>
      <c r="Q266" s="76"/>
    </row>
    <row r="267">
      <c r="A267" s="75"/>
      <c r="B267" s="49"/>
      <c r="C267" s="49"/>
      <c r="D267" s="49"/>
      <c r="E267" s="76"/>
      <c r="F267" s="77"/>
      <c r="I267" s="76"/>
      <c r="M267" s="76"/>
      <c r="N267" s="77"/>
      <c r="Q267" s="76"/>
    </row>
    <row r="268">
      <c r="A268" s="75"/>
      <c r="B268" s="49"/>
      <c r="C268" s="49"/>
      <c r="D268" s="49"/>
      <c r="E268" s="76"/>
      <c r="F268" s="77"/>
      <c r="I268" s="76"/>
      <c r="M268" s="76"/>
      <c r="N268" s="77"/>
      <c r="Q268" s="76"/>
    </row>
    <row r="269">
      <c r="A269" s="75"/>
      <c r="B269" s="49"/>
      <c r="C269" s="49"/>
      <c r="D269" s="49"/>
      <c r="E269" s="76"/>
      <c r="F269" s="77"/>
      <c r="I269" s="76"/>
      <c r="M269" s="76"/>
      <c r="N269" s="77"/>
      <c r="Q269" s="76"/>
    </row>
    <row r="270">
      <c r="A270" s="75"/>
      <c r="B270" s="49"/>
      <c r="C270" s="49"/>
      <c r="D270" s="49"/>
      <c r="E270" s="76"/>
      <c r="F270" s="77"/>
      <c r="I270" s="76"/>
      <c r="M270" s="76"/>
      <c r="N270" s="77"/>
      <c r="Q270" s="76"/>
    </row>
    <row r="271">
      <c r="A271" s="75"/>
      <c r="B271" s="49"/>
      <c r="C271" s="49"/>
      <c r="D271" s="49"/>
      <c r="E271" s="76"/>
      <c r="F271" s="77"/>
      <c r="I271" s="76"/>
      <c r="M271" s="76"/>
      <c r="N271" s="77"/>
      <c r="Q271" s="76"/>
    </row>
    <row r="272">
      <c r="A272" s="75"/>
      <c r="B272" s="49"/>
      <c r="C272" s="49"/>
      <c r="D272" s="49"/>
      <c r="E272" s="76"/>
      <c r="F272" s="77"/>
      <c r="I272" s="76"/>
      <c r="M272" s="76"/>
      <c r="N272" s="77"/>
      <c r="Q272" s="76"/>
    </row>
    <row r="273">
      <c r="A273" s="75"/>
      <c r="B273" s="49"/>
      <c r="C273" s="49"/>
      <c r="D273" s="49"/>
      <c r="E273" s="76"/>
      <c r="F273" s="77"/>
      <c r="I273" s="76"/>
      <c r="M273" s="76"/>
      <c r="N273" s="77"/>
      <c r="Q273" s="76"/>
    </row>
    <row r="274">
      <c r="A274" s="75"/>
      <c r="B274" s="49"/>
      <c r="C274" s="49"/>
      <c r="D274" s="49"/>
      <c r="E274" s="76"/>
      <c r="F274" s="77"/>
      <c r="I274" s="76"/>
      <c r="M274" s="76"/>
      <c r="N274" s="77"/>
      <c r="Q274" s="76"/>
    </row>
    <row r="275">
      <c r="A275" s="75"/>
      <c r="B275" s="49"/>
      <c r="C275" s="49"/>
      <c r="D275" s="49"/>
      <c r="E275" s="76"/>
      <c r="F275" s="77"/>
      <c r="I275" s="76"/>
      <c r="M275" s="76"/>
      <c r="N275" s="77"/>
      <c r="Q275" s="76"/>
    </row>
    <row r="276">
      <c r="A276" s="75"/>
      <c r="B276" s="49"/>
      <c r="C276" s="49"/>
      <c r="D276" s="49"/>
      <c r="E276" s="76"/>
      <c r="F276" s="77"/>
      <c r="I276" s="76"/>
      <c r="M276" s="76"/>
      <c r="N276" s="77"/>
      <c r="Q276" s="76"/>
    </row>
    <row r="277">
      <c r="A277" s="75"/>
      <c r="B277" s="49"/>
      <c r="C277" s="49"/>
      <c r="D277" s="49"/>
      <c r="E277" s="76"/>
      <c r="F277" s="77"/>
      <c r="I277" s="76"/>
      <c r="M277" s="76"/>
      <c r="N277" s="77"/>
      <c r="Q277" s="76"/>
    </row>
    <row r="278">
      <c r="A278" s="75"/>
      <c r="B278" s="49"/>
      <c r="C278" s="49"/>
      <c r="D278" s="49"/>
      <c r="E278" s="76"/>
      <c r="F278" s="77"/>
      <c r="I278" s="76"/>
      <c r="M278" s="76"/>
      <c r="N278" s="77"/>
      <c r="Q278" s="76"/>
    </row>
    <row r="279">
      <c r="A279" s="75"/>
      <c r="B279" s="49"/>
      <c r="C279" s="49"/>
      <c r="D279" s="49"/>
      <c r="E279" s="76"/>
      <c r="F279" s="77"/>
      <c r="I279" s="76"/>
      <c r="M279" s="76"/>
      <c r="N279" s="77"/>
      <c r="Q279" s="76"/>
    </row>
    <row r="280">
      <c r="A280" s="75"/>
      <c r="B280" s="49"/>
      <c r="C280" s="49"/>
      <c r="D280" s="49"/>
      <c r="E280" s="76"/>
      <c r="F280" s="77"/>
      <c r="I280" s="76"/>
      <c r="M280" s="76"/>
      <c r="N280" s="77"/>
      <c r="Q280" s="76"/>
    </row>
    <row r="281">
      <c r="A281" s="75"/>
      <c r="B281" s="49"/>
      <c r="C281" s="49"/>
      <c r="D281" s="49"/>
      <c r="E281" s="76"/>
      <c r="F281" s="77"/>
      <c r="I281" s="76"/>
      <c r="M281" s="76"/>
      <c r="N281" s="77"/>
      <c r="Q281" s="76"/>
    </row>
    <row r="282">
      <c r="A282" s="75"/>
      <c r="B282" s="49"/>
      <c r="C282" s="49"/>
      <c r="D282" s="49"/>
      <c r="E282" s="76"/>
      <c r="F282" s="77"/>
      <c r="I282" s="76"/>
      <c r="M282" s="76"/>
      <c r="N282" s="77"/>
      <c r="Q282" s="76"/>
    </row>
    <row r="283">
      <c r="A283" s="75"/>
      <c r="B283" s="49"/>
      <c r="C283" s="49"/>
      <c r="D283" s="49"/>
      <c r="E283" s="76"/>
      <c r="F283" s="77"/>
      <c r="I283" s="76"/>
      <c r="M283" s="76"/>
      <c r="N283" s="77"/>
      <c r="Q283" s="76"/>
    </row>
    <row r="284">
      <c r="A284" s="75"/>
      <c r="B284" s="49"/>
      <c r="C284" s="49"/>
      <c r="D284" s="49"/>
      <c r="E284" s="76"/>
      <c r="F284" s="77"/>
      <c r="I284" s="76"/>
      <c r="M284" s="76"/>
      <c r="N284" s="77"/>
      <c r="Q284" s="76"/>
    </row>
    <row r="285">
      <c r="A285" s="75"/>
      <c r="B285" s="49"/>
      <c r="C285" s="49"/>
      <c r="D285" s="49"/>
      <c r="E285" s="76"/>
      <c r="F285" s="77"/>
      <c r="I285" s="76"/>
      <c r="M285" s="76"/>
      <c r="N285" s="77"/>
      <c r="Q285" s="76"/>
    </row>
    <row r="286">
      <c r="A286" s="75"/>
      <c r="B286" s="49"/>
      <c r="C286" s="49"/>
      <c r="D286" s="49"/>
      <c r="E286" s="76"/>
      <c r="F286" s="77"/>
      <c r="I286" s="76"/>
      <c r="M286" s="76"/>
      <c r="N286" s="77"/>
      <c r="Q286" s="76"/>
    </row>
    <row r="287">
      <c r="A287" s="75"/>
      <c r="B287" s="49"/>
      <c r="C287" s="49"/>
      <c r="D287" s="49"/>
      <c r="E287" s="76"/>
      <c r="F287" s="77"/>
      <c r="I287" s="76"/>
      <c r="M287" s="76"/>
      <c r="N287" s="77"/>
      <c r="Q287" s="76"/>
    </row>
    <row r="288">
      <c r="A288" s="75"/>
      <c r="B288" s="49"/>
      <c r="C288" s="49"/>
      <c r="D288" s="49"/>
      <c r="E288" s="76"/>
      <c r="F288" s="77"/>
      <c r="I288" s="76"/>
      <c r="M288" s="76"/>
      <c r="N288" s="77"/>
      <c r="Q288" s="76"/>
    </row>
    <row r="289">
      <c r="A289" s="75"/>
      <c r="B289" s="49"/>
      <c r="C289" s="49"/>
      <c r="D289" s="49"/>
      <c r="E289" s="76"/>
      <c r="F289" s="77"/>
      <c r="I289" s="76"/>
      <c r="M289" s="76"/>
      <c r="N289" s="77"/>
      <c r="Q289" s="76"/>
    </row>
    <row r="290">
      <c r="A290" s="75"/>
      <c r="B290" s="49"/>
      <c r="C290" s="49"/>
      <c r="D290" s="49"/>
      <c r="E290" s="76"/>
      <c r="F290" s="77"/>
      <c r="I290" s="76"/>
      <c r="M290" s="76"/>
      <c r="N290" s="77"/>
      <c r="Q290" s="76"/>
    </row>
    <row r="291">
      <c r="A291" s="75"/>
      <c r="B291" s="49"/>
      <c r="C291" s="49"/>
      <c r="D291" s="49"/>
      <c r="E291" s="76"/>
      <c r="F291" s="77"/>
      <c r="I291" s="76"/>
      <c r="M291" s="76"/>
      <c r="N291" s="77"/>
      <c r="Q291" s="76"/>
    </row>
    <row r="292">
      <c r="A292" s="75"/>
      <c r="B292" s="49"/>
      <c r="C292" s="49"/>
      <c r="D292" s="49"/>
      <c r="E292" s="76"/>
      <c r="F292" s="77"/>
      <c r="I292" s="76"/>
      <c r="M292" s="76"/>
      <c r="N292" s="77"/>
      <c r="Q292" s="76"/>
    </row>
    <row r="293">
      <c r="A293" s="75"/>
      <c r="B293" s="49"/>
      <c r="C293" s="49"/>
      <c r="D293" s="49"/>
      <c r="E293" s="76"/>
      <c r="F293" s="77"/>
      <c r="I293" s="76"/>
      <c r="M293" s="76"/>
      <c r="N293" s="77"/>
      <c r="Q293" s="76"/>
    </row>
    <row r="294">
      <c r="A294" s="75"/>
      <c r="B294" s="49"/>
      <c r="C294" s="49"/>
      <c r="D294" s="49"/>
      <c r="E294" s="76"/>
      <c r="F294" s="77"/>
      <c r="I294" s="76"/>
      <c r="M294" s="76"/>
      <c r="N294" s="77"/>
      <c r="Q294" s="76"/>
    </row>
    <row r="295">
      <c r="A295" s="75"/>
      <c r="B295" s="49"/>
      <c r="C295" s="49"/>
      <c r="D295" s="49"/>
      <c r="E295" s="76"/>
      <c r="F295" s="77"/>
      <c r="I295" s="76"/>
      <c r="M295" s="76"/>
      <c r="N295" s="77"/>
      <c r="Q295" s="76"/>
    </row>
    <row r="296">
      <c r="A296" s="75"/>
      <c r="B296" s="49"/>
      <c r="C296" s="49"/>
      <c r="D296" s="49"/>
      <c r="E296" s="76"/>
      <c r="F296" s="77"/>
      <c r="I296" s="76"/>
      <c r="M296" s="76"/>
      <c r="N296" s="77"/>
      <c r="Q296" s="76"/>
    </row>
    <row r="297">
      <c r="A297" s="75"/>
      <c r="B297" s="49"/>
      <c r="C297" s="49"/>
      <c r="D297" s="49"/>
      <c r="E297" s="76"/>
      <c r="F297" s="77"/>
      <c r="I297" s="76"/>
      <c r="M297" s="76"/>
      <c r="N297" s="77"/>
      <c r="Q297" s="76"/>
    </row>
    <row r="298">
      <c r="A298" s="75"/>
      <c r="B298" s="49"/>
      <c r="C298" s="49"/>
      <c r="D298" s="49"/>
      <c r="E298" s="76"/>
      <c r="F298" s="77"/>
      <c r="I298" s="76"/>
      <c r="M298" s="76"/>
      <c r="N298" s="77"/>
      <c r="Q298" s="76"/>
    </row>
    <row r="299">
      <c r="A299" s="75"/>
      <c r="B299" s="49"/>
      <c r="C299" s="49"/>
      <c r="D299" s="49"/>
      <c r="E299" s="76"/>
      <c r="F299" s="77"/>
      <c r="I299" s="76"/>
      <c r="M299" s="76"/>
      <c r="N299" s="77"/>
      <c r="Q299" s="76"/>
    </row>
    <row r="300">
      <c r="A300" s="75"/>
      <c r="B300" s="49"/>
      <c r="C300" s="49"/>
      <c r="D300" s="49"/>
      <c r="E300" s="76"/>
      <c r="F300" s="77"/>
      <c r="I300" s="76"/>
      <c r="M300" s="76"/>
      <c r="N300" s="77"/>
      <c r="Q300" s="76"/>
    </row>
    <row r="301">
      <c r="A301" s="75"/>
      <c r="B301" s="49"/>
      <c r="C301" s="49"/>
      <c r="D301" s="49"/>
      <c r="E301" s="76"/>
      <c r="F301" s="77"/>
      <c r="I301" s="76"/>
      <c r="M301" s="76"/>
      <c r="N301" s="77"/>
      <c r="Q301" s="76"/>
    </row>
    <row r="302">
      <c r="A302" s="75"/>
      <c r="B302" s="49"/>
      <c r="C302" s="49"/>
      <c r="D302" s="49"/>
      <c r="E302" s="76"/>
      <c r="F302" s="77"/>
      <c r="I302" s="76"/>
      <c r="M302" s="76"/>
      <c r="N302" s="77"/>
      <c r="Q302" s="76"/>
    </row>
    <row r="303">
      <c r="A303" s="75"/>
      <c r="B303" s="49"/>
      <c r="C303" s="49"/>
      <c r="D303" s="49"/>
      <c r="E303" s="76"/>
      <c r="F303" s="77"/>
      <c r="I303" s="76"/>
      <c r="M303" s="76"/>
      <c r="N303" s="77"/>
      <c r="Q303" s="76"/>
    </row>
    <row r="304">
      <c r="A304" s="75"/>
      <c r="B304" s="49"/>
      <c r="C304" s="49"/>
      <c r="D304" s="49"/>
      <c r="E304" s="76"/>
      <c r="F304" s="77"/>
      <c r="I304" s="76"/>
      <c r="M304" s="76"/>
      <c r="N304" s="77"/>
      <c r="Q304" s="76"/>
    </row>
    <row r="305">
      <c r="A305" s="75"/>
      <c r="B305" s="49"/>
      <c r="C305" s="49"/>
      <c r="D305" s="49"/>
      <c r="E305" s="76"/>
      <c r="F305" s="77"/>
      <c r="I305" s="76"/>
      <c r="M305" s="76"/>
      <c r="N305" s="77"/>
      <c r="Q305" s="76"/>
    </row>
    <row r="306">
      <c r="A306" s="75"/>
      <c r="B306" s="49"/>
      <c r="C306" s="49"/>
      <c r="D306" s="49"/>
      <c r="E306" s="76"/>
      <c r="F306" s="77"/>
      <c r="I306" s="76"/>
      <c r="M306" s="76"/>
      <c r="N306" s="77"/>
      <c r="Q306" s="76"/>
    </row>
    <row r="307">
      <c r="A307" s="75"/>
      <c r="B307" s="49"/>
      <c r="C307" s="49"/>
      <c r="D307" s="49"/>
      <c r="E307" s="76"/>
      <c r="F307" s="77"/>
      <c r="I307" s="76"/>
      <c r="M307" s="76"/>
      <c r="N307" s="77"/>
      <c r="Q307" s="76"/>
    </row>
    <row r="308">
      <c r="A308" s="75"/>
      <c r="B308" s="49"/>
      <c r="C308" s="49"/>
      <c r="D308" s="49"/>
      <c r="E308" s="76"/>
      <c r="F308" s="77"/>
      <c r="I308" s="76"/>
      <c r="M308" s="76"/>
      <c r="N308" s="77"/>
      <c r="Q308" s="76"/>
    </row>
    <row r="309">
      <c r="A309" s="75"/>
      <c r="B309" s="49"/>
      <c r="C309" s="49"/>
      <c r="D309" s="49"/>
      <c r="E309" s="76"/>
      <c r="F309" s="77"/>
      <c r="I309" s="76"/>
      <c r="M309" s="76"/>
      <c r="N309" s="77"/>
      <c r="Q309" s="76"/>
    </row>
    <row r="310">
      <c r="A310" s="75"/>
      <c r="B310" s="49"/>
      <c r="C310" s="49"/>
      <c r="D310" s="49"/>
      <c r="E310" s="76"/>
      <c r="F310" s="77"/>
      <c r="I310" s="76"/>
      <c r="M310" s="76"/>
      <c r="N310" s="77"/>
      <c r="Q310" s="76"/>
    </row>
    <row r="311">
      <c r="A311" s="75"/>
      <c r="B311" s="49"/>
      <c r="C311" s="49"/>
      <c r="D311" s="49"/>
      <c r="E311" s="76"/>
      <c r="F311" s="77"/>
      <c r="I311" s="76"/>
      <c r="M311" s="76"/>
      <c r="N311" s="77"/>
      <c r="Q311" s="76"/>
    </row>
    <row r="312">
      <c r="A312" s="75"/>
      <c r="B312" s="49"/>
      <c r="C312" s="49"/>
      <c r="D312" s="49"/>
      <c r="E312" s="76"/>
      <c r="F312" s="77"/>
      <c r="I312" s="76"/>
      <c r="M312" s="76"/>
      <c r="N312" s="77"/>
      <c r="Q312" s="76"/>
    </row>
    <row r="313">
      <c r="A313" s="75"/>
      <c r="B313" s="49"/>
      <c r="C313" s="49"/>
      <c r="D313" s="49"/>
      <c r="E313" s="76"/>
      <c r="F313" s="77"/>
      <c r="I313" s="76"/>
      <c r="M313" s="76"/>
      <c r="N313" s="77"/>
      <c r="Q313" s="76"/>
    </row>
    <row r="314">
      <c r="A314" s="75"/>
      <c r="B314" s="49"/>
      <c r="C314" s="49"/>
      <c r="D314" s="49"/>
      <c r="E314" s="76"/>
      <c r="F314" s="77"/>
      <c r="I314" s="76"/>
      <c r="M314" s="76"/>
      <c r="N314" s="77"/>
      <c r="Q314" s="76"/>
    </row>
    <row r="315">
      <c r="A315" s="75"/>
      <c r="B315" s="49"/>
      <c r="C315" s="49"/>
      <c r="D315" s="49"/>
      <c r="E315" s="76"/>
      <c r="F315" s="77"/>
      <c r="I315" s="76"/>
      <c r="M315" s="76"/>
      <c r="N315" s="77"/>
      <c r="Q315" s="76"/>
    </row>
    <row r="316">
      <c r="A316" s="75"/>
      <c r="B316" s="49"/>
      <c r="C316" s="49"/>
      <c r="D316" s="49"/>
      <c r="E316" s="76"/>
      <c r="F316" s="77"/>
      <c r="I316" s="76"/>
      <c r="M316" s="76"/>
      <c r="N316" s="77"/>
      <c r="Q316" s="76"/>
    </row>
    <row r="317">
      <c r="A317" s="75"/>
      <c r="B317" s="49"/>
      <c r="C317" s="49"/>
      <c r="D317" s="49"/>
      <c r="E317" s="76"/>
      <c r="F317" s="77"/>
      <c r="I317" s="76"/>
      <c r="M317" s="76"/>
      <c r="N317" s="77"/>
      <c r="Q317" s="76"/>
    </row>
    <row r="318">
      <c r="A318" s="75"/>
      <c r="B318" s="49"/>
      <c r="C318" s="49"/>
      <c r="D318" s="49"/>
      <c r="E318" s="76"/>
      <c r="F318" s="77"/>
      <c r="I318" s="76"/>
      <c r="M318" s="76"/>
      <c r="N318" s="77"/>
      <c r="Q318" s="76"/>
    </row>
    <row r="319">
      <c r="A319" s="75"/>
      <c r="B319" s="49"/>
      <c r="C319" s="49"/>
      <c r="D319" s="49"/>
      <c r="E319" s="76"/>
      <c r="F319" s="77"/>
      <c r="I319" s="76"/>
      <c r="M319" s="76"/>
      <c r="N319" s="77"/>
      <c r="Q319" s="76"/>
    </row>
    <row r="320">
      <c r="A320" s="75"/>
      <c r="B320" s="49"/>
      <c r="C320" s="49"/>
      <c r="D320" s="49"/>
      <c r="E320" s="76"/>
      <c r="F320" s="77"/>
      <c r="I320" s="76"/>
      <c r="M320" s="76"/>
      <c r="N320" s="77"/>
      <c r="Q320" s="76"/>
    </row>
    <row r="321">
      <c r="A321" s="75"/>
      <c r="B321" s="49"/>
      <c r="C321" s="49"/>
      <c r="D321" s="49"/>
      <c r="E321" s="76"/>
      <c r="F321" s="77"/>
      <c r="I321" s="76"/>
      <c r="M321" s="76"/>
      <c r="N321" s="77"/>
      <c r="Q321" s="76"/>
    </row>
    <row r="322">
      <c r="A322" s="75"/>
      <c r="B322" s="49"/>
      <c r="C322" s="49"/>
      <c r="D322" s="49"/>
      <c r="E322" s="76"/>
      <c r="F322" s="77"/>
      <c r="I322" s="76"/>
      <c r="M322" s="76"/>
      <c r="N322" s="77"/>
      <c r="Q322" s="76"/>
    </row>
    <row r="323">
      <c r="A323" s="75"/>
      <c r="B323" s="49"/>
      <c r="C323" s="49"/>
      <c r="D323" s="49"/>
      <c r="E323" s="76"/>
      <c r="F323" s="77"/>
      <c r="I323" s="76"/>
      <c r="M323" s="76"/>
      <c r="N323" s="77"/>
      <c r="Q323" s="76"/>
    </row>
    <row r="324">
      <c r="A324" s="75"/>
      <c r="B324" s="49"/>
      <c r="C324" s="49"/>
      <c r="D324" s="49"/>
      <c r="E324" s="76"/>
      <c r="F324" s="77"/>
      <c r="I324" s="76"/>
      <c r="M324" s="76"/>
      <c r="N324" s="77"/>
      <c r="Q324" s="76"/>
    </row>
    <row r="325">
      <c r="A325" s="75"/>
      <c r="B325" s="49"/>
      <c r="C325" s="49"/>
      <c r="D325" s="49"/>
      <c r="E325" s="76"/>
      <c r="F325" s="77"/>
      <c r="I325" s="76"/>
      <c r="M325" s="76"/>
      <c r="N325" s="77"/>
      <c r="Q325" s="76"/>
    </row>
    <row r="326">
      <c r="A326" s="75"/>
      <c r="B326" s="49"/>
      <c r="C326" s="49"/>
      <c r="D326" s="49"/>
      <c r="E326" s="76"/>
      <c r="F326" s="77"/>
      <c r="I326" s="76"/>
      <c r="M326" s="76"/>
      <c r="N326" s="77"/>
      <c r="Q326" s="76"/>
    </row>
    <row r="327">
      <c r="A327" s="75"/>
      <c r="B327" s="49"/>
      <c r="C327" s="49"/>
      <c r="D327" s="49"/>
      <c r="E327" s="76"/>
      <c r="F327" s="77"/>
      <c r="I327" s="76"/>
      <c r="M327" s="76"/>
      <c r="N327" s="77"/>
      <c r="Q327" s="76"/>
    </row>
    <row r="328">
      <c r="A328" s="75"/>
      <c r="B328" s="49"/>
      <c r="C328" s="49"/>
      <c r="D328" s="49"/>
      <c r="E328" s="76"/>
      <c r="F328" s="77"/>
      <c r="I328" s="76"/>
      <c r="M328" s="76"/>
      <c r="N328" s="77"/>
      <c r="Q328" s="76"/>
    </row>
    <row r="329">
      <c r="A329" s="75"/>
      <c r="B329" s="49"/>
      <c r="C329" s="49"/>
      <c r="D329" s="49"/>
      <c r="E329" s="76"/>
      <c r="F329" s="77"/>
      <c r="I329" s="76"/>
      <c r="M329" s="76"/>
      <c r="N329" s="77"/>
      <c r="Q329" s="76"/>
    </row>
    <row r="330">
      <c r="A330" s="75"/>
      <c r="B330" s="49"/>
      <c r="C330" s="49"/>
      <c r="D330" s="49"/>
      <c r="E330" s="76"/>
      <c r="F330" s="77"/>
      <c r="I330" s="76"/>
      <c r="M330" s="76"/>
      <c r="N330" s="77"/>
      <c r="Q330" s="76"/>
    </row>
    <row r="331">
      <c r="A331" s="75"/>
      <c r="B331" s="49"/>
      <c r="C331" s="49"/>
      <c r="D331" s="49"/>
      <c r="E331" s="76"/>
      <c r="F331" s="77"/>
      <c r="I331" s="76"/>
      <c r="M331" s="76"/>
      <c r="N331" s="77"/>
      <c r="Q331" s="76"/>
    </row>
    <row r="332">
      <c r="A332" s="75"/>
      <c r="B332" s="49"/>
      <c r="C332" s="49"/>
      <c r="D332" s="49"/>
      <c r="E332" s="76"/>
      <c r="F332" s="77"/>
      <c r="I332" s="76"/>
      <c r="M332" s="76"/>
      <c r="N332" s="77"/>
      <c r="Q332" s="76"/>
    </row>
    <row r="333">
      <c r="A333" s="75"/>
      <c r="B333" s="49"/>
      <c r="C333" s="49"/>
      <c r="D333" s="49"/>
      <c r="E333" s="76"/>
      <c r="F333" s="77"/>
      <c r="I333" s="76"/>
      <c r="M333" s="76"/>
      <c r="N333" s="77"/>
      <c r="Q333" s="76"/>
    </row>
    <row r="334">
      <c r="A334" s="75"/>
      <c r="B334" s="49"/>
      <c r="C334" s="49"/>
      <c r="D334" s="49"/>
      <c r="E334" s="76"/>
      <c r="F334" s="77"/>
      <c r="I334" s="76"/>
      <c r="M334" s="76"/>
      <c r="N334" s="77"/>
      <c r="Q334" s="76"/>
    </row>
    <row r="335">
      <c r="A335" s="75"/>
      <c r="B335" s="49"/>
      <c r="C335" s="49"/>
      <c r="D335" s="49"/>
      <c r="E335" s="76"/>
      <c r="F335" s="77"/>
      <c r="I335" s="76"/>
      <c r="M335" s="76"/>
      <c r="N335" s="77"/>
      <c r="Q335" s="76"/>
    </row>
    <row r="336">
      <c r="A336" s="75"/>
      <c r="B336" s="49"/>
      <c r="C336" s="49"/>
      <c r="D336" s="49"/>
      <c r="E336" s="76"/>
      <c r="F336" s="77"/>
      <c r="I336" s="76"/>
      <c r="M336" s="76"/>
      <c r="N336" s="77"/>
      <c r="Q336" s="76"/>
    </row>
    <row r="337">
      <c r="A337" s="75"/>
      <c r="B337" s="49"/>
      <c r="C337" s="49"/>
      <c r="D337" s="49"/>
      <c r="E337" s="76"/>
      <c r="F337" s="77"/>
      <c r="I337" s="76"/>
      <c r="M337" s="76"/>
      <c r="N337" s="77"/>
      <c r="Q337" s="76"/>
    </row>
    <row r="338">
      <c r="A338" s="75"/>
      <c r="B338" s="49"/>
      <c r="C338" s="49"/>
      <c r="D338" s="49"/>
      <c r="E338" s="76"/>
      <c r="F338" s="77"/>
      <c r="I338" s="76"/>
      <c r="M338" s="76"/>
      <c r="N338" s="77"/>
      <c r="Q338" s="76"/>
    </row>
    <row r="339">
      <c r="A339" s="75"/>
      <c r="B339" s="49"/>
      <c r="C339" s="49"/>
      <c r="D339" s="49"/>
      <c r="E339" s="76"/>
      <c r="F339" s="77"/>
      <c r="I339" s="76"/>
      <c r="M339" s="76"/>
      <c r="N339" s="77"/>
      <c r="Q339" s="76"/>
    </row>
    <row r="340">
      <c r="A340" s="75"/>
      <c r="B340" s="49"/>
      <c r="C340" s="49"/>
      <c r="D340" s="49"/>
      <c r="E340" s="76"/>
      <c r="F340" s="77"/>
      <c r="I340" s="76"/>
      <c r="M340" s="76"/>
      <c r="N340" s="77"/>
      <c r="Q340" s="76"/>
    </row>
    <row r="341">
      <c r="A341" s="75"/>
      <c r="B341" s="49"/>
      <c r="C341" s="49"/>
      <c r="D341" s="49"/>
      <c r="E341" s="76"/>
      <c r="F341" s="77"/>
      <c r="I341" s="76"/>
      <c r="M341" s="76"/>
      <c r="N341" s="77"/>
      <c r="Q341" s="76"/>
    </row>
    <row r="342">
      <c r="A342" s="75"/>
      <c r="B342" s="49"/>
      <c r="C342" s="49"/>
      <c r="D342" s="49"/>
      <c r="E342" s="76"/>
      <c r="F342" s="77"/>
      <c r="I342" s="76"/>
      <c r="M342" s="76"/>
      <c r="N342" s="77"/>
      <c r="Q342" s="76"/>
    </row>
    <row r="343">
      <c r="A343" s="75"/>
      <c r="B343" s="49"/>
      <c r="C343" s="49"/>
      <c r="D343" s="49"/>
      <c r="E343" s="76"/>
      <c r="F343" s="77"/>
      <c r="I343" s="76"/>
      <c r="M343" s="76"/>
      <c r="N343" s="77"/>
      <c r="Q343" s="76"/>
    </row>
    <row r="344">
      <c r="A344" s="75"/>
      <c r="B344" s="49"/>
      <c r="C344" s="49"/>
      <c r="D344" s="49"/>
      <c r="E344" s="76"/>
      <c r="F344" s="77"/>
      <c r="I344" s="76"/>
      <c r="M344" s="76"/>
      <c r="N344" s="77"/>
      <c r="Q344" s="76"/>
    </row>
    <row r="345">
      <c r="A345" s="75"/>
      <c r="B345" s="49"/>
      <c r="C345" s="49"/>
      <c r="D345" s="49"/>
      <c r="E345" s="76"/>
      <c r="F345" s="77"/>
      <c r="I345" s="76"/>
      <c r="M345" s="76"/>
      <c r="N345" s="77"/>
      <c r="Q345" s="76"/>
    </row>
    <row r="346">
      <c r="A346" s="75"/>
      <c r="B346" s="49"/>
      <c r="C346" s="49"/>
      <c r="D346" s="49"/>
      <c r="E346" s="76"/>
      <c r="F346" s="77"/>
      <c r="I346" s="76"/>
      <c r="M346" s="76"/>
      <c r="N346" s="77"/>
      <c r="Q346" s="76"/>
    </row>
    <row r="347">
      <c r="A347" s="75"/>
      <c r="B347" s="49"/>
      <c r="C347" s="49"/>
      <c r="D347" s="49"/>
      <c r="E347" s="76"/>
      <c r="F347" s="77"/>
      <c r="I347" s="76"/>
      <c r="M347" s="76"/>
      <c r="N347" s="77"/>
      <c r="Q347" s="76"/>
    </row>
    <row r="348">
      <c r="A348" s="75"/>
      <c r="B348" s="49"/>
      <c r="C348" s="49"/>
      <c r="D348" s="49"/>
      <c r="E348" s="76"/>
      <c r="F348" s="77"/>
      <c r="I348" s="76"/>
      <c r="M348" s="76"/>
      <c r="N348" s="77"/>
      <c r="Q348" s="76"/>
    </row>
    <row r="349">
      <c r="A349" s="75"/>
      <c r="B349" s="49"/>
      <c r="C349" s="49"/>
      <c r="D349" s="49"/>
      <c r="E349" s="76"/>
      <c r="F349" s="77"/>
      <c r="I349" s="76"/>
      <c r="M349" s="76"/>
      <c r="N349" s="77"/>
      <c r="Q349" s="76"/>
    </row>
    <row r="350">
      <c r="A350" s="75"/>
      <c r="B350" s="49"/>
      <c r="C350" s="49"/>
      <c r="D350" s="49"/>
      <c r="E350" s="76"/>
      <c r="F350" s="77"/>
      <c r="I350" s="76"/>
      <c r="M350" s="76"/>
      <c r="N350" s="77"/>
      <c r="Q350" s="76"/>
    </row>
    <row r="351">
      <c r="A351" s="75"/>
      <c r="B351" s="49"/>
      <c r="C351" s="49"/>
      <c r="D351" s="49"/>
      <c r="E351" s="76"/>
      <c r="F351" s="77"/>
      <c r="I351" s="76"/>
      <c r="M351" s="76"/>
      <c r="N351" s="77"/>
      <c r="Q351" s="76"/>
    </row>
    <row r="352">
      <c r="A352" s="75"/>
      <c r="B352" s="49"/>
      <c r="C352" s="49"/>
      <c r="D352" s="49"/>
      <c r="E352" s="76"/>
      <c r="F352" s="77"/>
      <c r="I352" s="76"/>
      <c r="M352" s="76"/>
      <c r="N352" s="77"/>
      <c r="Q352" s="76"/>
    </row>
    <row r="353">
      <c r="A353" s="75"/>
      <c r="B353" s="49"/>
      <c r="C353" s="49"/>
      <c r="D353" s="49"/>
      <c r="E353" s="76"/>
      <c r="F353" s="77"/>
      <c r="I353" s="76"/>
      <c r="M353" s="76"/>
      <c r="N353" s="77"/>
      <c r="Q353" s="76"/>
    </row>
    <row r="354">
      <c r="A354" s="75"/>
      <c r="B354" s="49"/>
      <c r="C354" s="49"/>
      <c r="D354" s="49"/>
      <c r="E354" s="76"/>
      <c r="F354" s="77"/>
      <c r="I354" s="76"/>
      <c r="M354" s="76"/>
      <c r="N354" s="77"/>
      <c r="Q354" s="76"/>
    </row>
    <row r="355">
      <c r="A355" s="75"/>
      <c r="B355" s="49"/>
      <c r="C355" s="49"/>
      <c r="D355" s="49"/>
      <c r="E355" s="76"/>
      <c r="F355" s="77"/>
      <c r="I355" s="76"/>
      <c r="M355" s="76"/>
      <c r="N355" s="77"/>
      <c r="Q355" s="76"/>
    </row>
    <row r="356">
      <c r="A356" s="75"/>
      <c r="B356" s="49"/>
      <c r="C356" s="49"/>
      <c r="D356" s="49"/>
      <c r="E356" s="76"/>
      <c r="F356" s="77"/>
      <c r="I356" s="76"/>
      <c r="M356" s="76"/>
      <c r="N356" s="77"/>
      <c r="Q356" s="76"/>
    </row>
    <row r="357">
      <c r="A357" s="75"/>
      <c r="B357" s="49"/>
      <c r="C357" s="49"/>
      <c r="D357" s="49"/>
      <c r="E357" s="76"/>
      <c r="F357" s="77"/>
      <c r="I357" s="76"/>
      <c r="M357" s="76"/>
      <c r="N357" s="77"/>
      <c r="Q357" s="76"/>
    </row>
    <row r="358">
      <c r="A358" s="75"/>
      <c r="B358" s="49"/>
      <c r="C358" s="49"/>
      <c r="D358" s="49"/>
      <c r="E358" s="76"/>
      <c r="F358" s="77"/>
      <c r="I358" s="76"/>
      <c r="M358" s="76"/>
      <c r="N358" s="77"/>
      <c r="Q358" s="76"/>
    </row>
    <row r="359">
      <c r="A359" s="75"/>
      <c r="B359" s="49"/>
      <c r="C359" s="49"/>
      <c r="D359" s="49"/>
      <c r="E359" s="76"/>
      <c r="F359" s="77"/>
      <c r="I359" s="76"/>
      <c r="M359" s="76"/>
      <c r="N359" s="77"/>
      <c r="Q359" s="76"/>
    </row>
    <row r="360">
      <c r="A360" s="75"/>
      <c r="B360" s="49"/>
      <c r="C360" s="49"/>
      <c r="D360" s="49"/>
      <c r="E360" s="76"/>
      <c r="F360" s="77"/>
      <c r="I360" s="76"/>
      <c r="M360" s="76"/>
      <c r="N360" s="77"/>
      <c r="Q360" s="76"/>
    </row>
    <row r="361">
      <c r="A361" s="75"/>
      <c r="B361" s="49"/>
      <c r="C361" s="49"/>
      <c r="D361" s="49"/>
      <c r="E361" s="76"/>
      <c r="F361" s="77"/>
      <c r="I361" s="76"/>
      <c r="M361" s="76"/>
      <c r="N361" s="77"/>
      <c r="Q361" s="76"/>
    </row>
    <row r="362">
      <c r="A362" s="75"/>
      <c r="B362" s="49"/>
      <c r="C362" s="49"/>
      <c r="D362" s="49"/>
      <c r="E362" s="76"/>
      <c r="F362" s="77"/>
      <c r="I362" s="76"/>
      <c r="M362" s="76"/>
      <c r="N362" s="77"/>
      <c r="Q362" s="76"/>
    </row>
    <row r="363">
      <c r="A363" s="75"/>
      <c r="B363" s="49"/>
      <c r="C363" s="49"/>
      <c r="D363" s="49"/>
      <c r="E363" s="76"/>
      <c r="F363" s="77"/>
      <c r="I363" s="76"/>
      <c r="M363" s="76"/>
      <c r="N363" s="77"/>
      <c r="Q363" s="76"/>
    </row>
    <row r="364">
      <c r="A364" s="75"/>
      <c r="B364" s="49"/>
      <c r="C364" s="49"/>
      <c r="D364" s="49"/>
      <c r="E364" s="76"/>
      <c r="F364" s="77"/>
      <c r="I364" s="76"/>
      <c r="M364" s="76"/>
      <c r="N364" s="77"/>
      <c r="Q364" s="76"/>
    </row>
    <row r="365">
      <c r="A365" s="75"/>
      <c r="B365" s="49"/>
      <c r="C365" s="49"/>
      <c r="D365" s="49"/>
      <c r="E365" s="76"/>
      <c r="F365" s="77"/>
      <c r="I365" s="76"/>
      <c r="M365" s="76"/>
      <c r="N365" s="77"/>
      <c r="Q365" s="76"/>
    </row>
    <row r="366">
      <c r="A366" s="75"/>
      <c r="B366" s="49"/>
      <c r="C366" s="49"/>
      <c r="D366" s="49"/>
      <c r="E366" s="76"/>
      <c r="F366" s="77"/>
      <c r="I366" s="76"/>
      <c r="M366" s="76"/>
      <c r="N366" s="77"/>
      <c r="Q366" s="76"/>
    </row>
    <row r="367">
      <c r="A367" s="75"/>
      <c r="B367" s="49"/>
      <c r="C367" s="49"/>
      <c r="D367" s="49"/>
      <c r="E367" s="76"/>
      <c r="F367" s="77"/>
      <c r="I367" s="76"/>
      <c r="M367" s="76"/>
      <c r="N367" s="77"/>
      <c r="Q367" s="76"/>
    </row>
    <row r="368">
      <c r="A368" s="75"/>
      <c r="B368" s="49"/>
      <c r="C368" s="49"/>
      <c r="D368" s="49"/>
      <c r="E368" s="76"/>
      <c r="F368" s="77"/>
      <c r="I368" s="76"/>
      <c r="M368" s="76"/>
      <c r="N368" s="77"/>
      <c r="Q368" s="76"/>
    </row>
    <row r="369">
      <c r="A369" s="75"/>
      <c r="B369" s="49"/>
      <c r="C369" s="49"/>
      <c r="D369" s="49"/>
      <c r="E369" s="76"/>
      <c r="F369" s="77"/>
      <c r="I369" s="76"/>
      <c r="M369" s="76"/>
      <c r="N369" s="77"/>
      <c r="Q369" s="76"/>
    </row>
    <row r="370">
      <c r="A370" s="75"/>
      <c r="B370" s="49"/>
      <c r="C370" s="49"/>
      <c r="D370" s="49"/>
      <c r="E370" s="76"/>
      <c r="F370" s="77"/>
      <c r="I370" s="76"/>
      <c r="M370" s="76"/>
      <c r="N370" s="77"/>
      <c r="Q370" s="76"/>
    </row>
    <row r="371">
      <c r="A371" s="75"/>
      <c r="B371" s="49"/>
      <c r="C371" s="49"/>
      <c r="D371" s="49"/>
      <c r="E371" s="76"/>
      <c r="F371" s="77"/>
      <c r="I371" s="76"/>
      <c r="M371" s="76"/>
      <c r="N371" s="77"/>
      <c r="Q371" s="76"/>
    </row>
    <row r="372">
      <c r="A372" s="75"/>
      <c r="B372" s="49"/>
      <c r="C372" s="49"/>
      <c r="D372" s="49"/>
      <c r="E372" s="76"/>
      <c r="F372" s="77"/>
      <c r="I372" s="76"/>
      <c r="M372" s="76"/>
      <c r="N372" s="77"/>
      <c r="Q372" s="76"/>
    </row>
    <row r="373">
      <c r="A373" s="75"/>
      <c r="B373" s="49"/>
      <c r="C373" s="49"/>
      <c r="D373" s="49"/>
      <c r="E373" s="76"/>
      <c r="F373" s="77"/>
      <c r="I373" s="76"/>
      <c r="M373" s="76"/>
      <c r="N373" s="77"/>
      <c r="Q373" s="76"/>
    </row>
    <row r="374">
      <c r="A374" s="75"/>
      <c r="B374" s="49"/>
      <c r="C374" s="49"/>
      <c r="D374" s="49"/>
      <c r="E374" s="76"/>
      <c r="F374" s="77"/>
      <c r="I374" s="76"/>
      <c r="M374" s="76"/>
      <c r="N374" s="77"/>
      <c r="Q374" s="76"/>
    </row>
    <row r="375">
      <c r="A375" s="75"/>
      <c r="B375" s="49"/>
      <c r="C375" s="49"/>
      <c r="D375" s="49"/>
      <c r="E375" s="76"/>
      <c r="F375" s="77"/>
      <c r="I375" s="76"/>
      <c r="M375" s="76"/>
      <c r="N375" s="77"/>
      <c r="Q375" s="76"/>
    </row>
    <row r="376">
      <c r="A376" s="75"/>
      <c r="B376" s="49"/>
      <c r="C376" s="49"/>
      <c r="D376" s="49"/>
      <c r="E376" s="76"/>
      <c r="F376" s="77"/>
      <c r="I376" s="76"/>
      <c r="M376" s="76"/>
      <c r="N376" s="77"/>
      <c r="Q376" s="76"/>
    </row>
    <row r="377">
      <c r="A377" s="75"/>
      <c r="B377" s="49"/>
      <c r="C377" s="49"/>
      <c r="D377" s="49"/>
      <c r="E377" s="76"/>
      <c r="F377" s="77"/>
      <c r="I377" s="76"/>
      <c r="M377" s="76"/>
      <c r="N377" s="77"/>
      <c r="Q377" s="76"/>
    </row>
    <row r="378">
      <c r="A378" s="75"/>
      <c r="B378" s="49"/>
      <c r="C378" s="49"/>
      <c r="D378" s="49"/>
      <c r="E378" s="76"/>
      <c r="F378" s="77"/>
      <c r="I378" s="76"/>
      <c r="M378" s="76"/>
      <c r="N378" s="77"/>
      <c r="Q378" s="76"/>
    </row>
    <row r="379">
      <c r="A379" s="75"/>
      <c r="B379" s="49"/>
      <c r="C379" s="49"/>
      <c r="D379" s="49"/>
      <c r="E379" s="76"/>
      <c r="F379" s="77"/>
      <c r="I379" s="76"/>
      <c r="M379" s="76"/>
      <c r="N379" s="77"/>
      <c r="Q379" s="76"/>
    </row>
    <row r="380">
      <c r="A380" s="75"/>
      <c r="B380" s="49"/>
      <c r="C380" s="49"/>
      <c r="D380" s="49"/>
      <c r="E380" s="76"/>
      <c r="F380" s="77"/>
      <c r="I380" s="76"/>
      <c r="M380" s="76"/>
      <c r="N380" s="77"/>
      <c r="Q380" s="76"/>
    </row>
    <row r="381">
      <c r="A381" s="75"/>
      <c r="B381" s="49"/>
      <c r="C381" s="49"/>
      <c r="D381" s="49"/>
      <c r="E381" s="76"/>
      <c r="F381" s="77"/>
      <c r="I381" s="76"/>
      <c r="M381" s="76"/>
      <c r="N381" s="77"/>
      <c r="Q381" s="76"/>
    </row>
    <row r="382">
      <c r="A382" s="75"/>
      <c r="B382" s="49"/>
      <c r="C382" s="49"/>
      <c r="D382" s="49"/>
      <c r="E382" s="76"/>
      <c r="F382" s="77"/>
      <c r="I382" s="76"/>
      <c r="M382" s="76"/>
      <c r="N382" s="77"/>
      <c r="Q382" s="76"/>
    </row>
    <row r="383">
      <c r="A383" s="75"/>
      <c r="B383" s="49"/>
      <c r="C383" s="49"/>
      <c r="D383" s="49"/>
      <c r="E383" s="76"/>
      <c r="F383" s="77"/>
      <c r="I383" s="76"/>
      <c r="M383" s="76"/>
      <c r="N383" s="77"/>
      <c r="Q383" s="76"/>
    </row>
    <row r="384">
      <c r="A384" s="75"/>
      <c r="B384" s="49"/>
      <c r="C384" s="49"/>
      <c r="D384" s="49"/>
      <c r="E384" s="76"/>
      <c r="F384" s="77"/>
      <c r="I384" s="76"/>
      <c r="M384" s="76"/>
      <c r="N384" s="77"/>
      <c r="Q384" s="76"/>
    </row>
    <row r="385">
      <c r="A385" s="75"/>
      <c r="B385" s="49"/>
      <c r="C385" s="49"/>
      <c r="D385" s="49"/>
      <c r="E385" s="76"/>
      <c r="F385" s="77"/>
      <c r="I385" s="76"/>
      <c r="M385" s="76"/>
      <c r="N385" s="77"/>
      <c r="Q385" s="76"/>
    </row>
    <row r="386">
      <c r="A386" s="75"/>
      <c r="B386" s="49"/>
      <c r="C386" s="49"/>
      <c r="D386" s="49"/>
      <c r="E386" s="76"/>
      <c r="F386" s="77"/>
      <c r="I386" s="76"/>
      <c r="M386" s="76"/>
      <c r="N386" s="77"/>
      <c r="Q386" s="76"/>
    </row>
    <row r="387">
      <c r="A387" s="75"/>
      <c r="B387" s="49"/>
      <c r="C387" s="49"/>
      <c r="D387" s="49"/>
      <c r="E387" s="76"/>
      <c r="F387" s="77"/>
      <c r="I387" s="76"/>
      <c r="M387" s="76"/>
      <c r="N387" s="77"/>
      <c r="Q387" s="76"/>
    </row>
    <row r="388">
      <c r="A388" s="75"/>
      <c r="B388" s="49"/>
      <c r="C388" s="49"/>
      <c r="D388" s="49"/>
      <c r="E388" s="76"/>
      <c r="F388" s="77"/>
      <c r="I388" s="76"/>
      <c r="M388" s="76"/>
      <c r="N388" s="77"/>
      <c r="Q388" s="76"/>
    </row>
    <row r="389">
      <c r="A389" s="75"/>
      <c r="B389" s="49"/>
      <c r="C389" s="49"/>
      <c r="D389" s="49"/>
      <c r="E389" s="76"/>
      <c r="F389" s="77"/>
      <c r="I389" s="76"/>
      <c r="M389" s="76"/>
      <c r="N389" s="77"/>
      <c r="Q389" s="76"/>
    </row>
    <row r="390">
      <c r="A390" s="75"/>
      <c r="B390" s="49"/>
      <c r="C390" s="49"/>
      <c r="D390" s="49"/>
      <c r="E390" s="76"/>
      <c r="F390" s="77"/>
      <c r="I390" s="76"/>
      <c r="M390" s="76"/>
      <c r="N390" s="77"/>
      <c r="Q390" s="76"/>
    </row>
    <row r="391">
      <c r="A391" s="75"/>
      <c r="B391" s="49"/>
      <c r="C391" s="49"/>
      <c r="D391" s="49"/>
      <c r="E391" s="76"/>
      <c r="F391" s="77"/>
      <c r="I391" s="76"/>
      <c r="M391" s="76"/>
      <c r="N391" s="77"/>
      <c r="Q391" s="76"/>
    </row>
    <row r="392">
      <c r="A392" s="75"/>
      <c r="B392" s="49"/>
      <c r="C392" s="49"/>
      <c r="D392" s="49"/>
      <c r="E392" s="76"/>
      <c r="F392" s="77"/>
      <c r="I392" s="76"/>
      <c r="M392" s="76"/>
      <c r="N392" s="77"/>
      <c r="Q392" s="76"/>
    </row>
    <row r="393">
      <c r="A393" s="75"/>
      <c r="B393" s="49"/>
      <c r="C393" s="49"/>
      <c r="D393" s="49"/>
      <c r="E393" s="76"/>
      <c r="F393" s="77"/>
      <c r="I393" s="76"/>
      <c r="M393" s="76"/>
      <c r="N393" s="77"/>
      <c r="Q393" s="76"/>
    </row>
    <row r="394">
      <c r="A394" s="75"/>
      <c r="B394" s="49"/>
      <c r="C394" s="49"/>
      <c r="D394" s="49"/>
      <c r="E394" s="76"/>
      <c r="F394" s="77"/>
      <c r="I394" s="76"/>
      <c r="M394" s="76"/>
      <c r="N394" s="77"/>
      <c r="Q394" s="76"/>
    </row>
    <row r="395">
      <c r="A395" s="75"/>
      <c r="B395" s="49"/>
      <c r="C395" s="49"/>
      <c r="D395" s="49"/>
      <c r="E395" s="76"/>
      <c r="F395" s="77"/>
      <c r="I395" s="76"/>
      <c r="M395" s="76"/>
      <c r="N395" s="77"/>
      <c r="Q395" s="76"/>
    </row>
    <row r="396">
      <c r="A396" s="75"/>
      <c r="B396" s="49"/>
      <c r="C396" s="49"/>
      <c r="D396" s="49"/>
      <c r="E396" s="76"/>
      <c r="F396" s="77"/>
      <c r="I396" s="76"/>
      <c r="M396" s="76"/>
      <c r="N396" s="77"/>
      <c r="Q396" s="76"/>
    </row>
    <row r="397">
      <c r="A397" s="75"/>
      <c r="B397" s="49"/>
      <c r="C397" s="49"/>
      <c r="D397" s="49"/>
      <c r="E397" s="76"/>
      <c r="F397" s="77"/>
      <c r="I397" s="76"/>
      <c r="M397" s="76"/>
      <c r="N397" s="77"/>
      <c r="Q397" s="76"/>
    </row>
    <row r="398">
      <c r="A398" s="75"/>
      <c r="B398" s="49"/>
      <c r="C398" s="49"/>
      <c r="D398" s="49"/>
      <c r="E398" s="76"/>
      <c r="F398" s="77"/>
      <c r="I398" s="76"/>
      <c r="M398" s="76"/>
      <c r="N398" s="77"/>
      <c r="Q398" s="76"/>
    </row>
    <row r="399">
      <c r="A399" s="75"/>
      <c r="B399" s="49"/>
      <c r="C399" s="49"/>
      <c r="D399" s="49"/>
      <c r="E399" s="76"/>
      <c r="F399" s="77"/>
      <c r="I399" s="76"/>
      <c r="M399" s="76"/>
      <c r="N399" s="77"/>
      <c r="Q399" s="76"/>
    </row>
    <row r="400">
      <c r="A400" s="75"/>
      <c r="B400" s="49"/>
      <c r="C400" s="49"/>
      <c r="D400" s="49"/>
      <c r="E400" s="76"/>
      <c r="F400" s="77"/>
      <c r="I400" s="76"/>
      <c r="M400" s="76"/>
      <c r="N400" s="77"/>
      <c r="Q400" s="76"/>
    </row>
    <row r="401">
      <c r="A401" s="75"/>
      <c r="B401" s="49"/>
      <c r="C401" s="49"/>
      <c r="D401" s="49"/>
      <c r="E401" s="76"/>
      <c r="F401" s="77"/>
      <c r="I401" s="76"/>
      <c r="M401" s="76"/>
      <c r="N401" s="77"/>
      <c r="Q401" s="76"/>
    </row>
    <row r="402">
      <c r="A402" s="75"/>
      <c r="B402" s="49"/>
      <c r="C402" s="49"/>
      <c r="D402" s="49"/>
      <c r="E402" s="76"/>
      <c r="F402" s="77"/>
      <c r="I402" s="76"/>
      <c r="M402" s="76"/>
      <c r="N402" s="77"/>
      <c r="Q402" s="76"/>
    </row>
    <row r="403">
      <c r="A403" s="75"/>
      <c r="B403" s="49"/>
      <c r="C403" s="49"/>
      <c r="D403" s="49"/>
      <c r="E403" s="76"/>
      <c r="F403" s="77"/>
      <c r="I403" s="76"/>
      <c r="M403" s="76"/>
      <c r="N403" s="77"/>
      <c r="Q403" s="76"/>
    </row>
    <row r="404">
      <c r="A404" s="75"/>
      <c r="B404" s="49"/>
      <c r="C404" s="49"/>
      <c r="D404" s="49"/>
      <c r="E404" s="76"/>
      <c r="F404" s="77"/>
      <c r="I404" s="76"/>
      <c r="M404" s="76"/>
      <c r="N404" s="77"/>
      <c r="Q404" s="76"/>
    </row>
    <row r="405">
      <c r="A405" s="75"/>
      <c r="B405" s="49"/>
      <c r="C405" s="49"/>
      <c r="D405" s="49"/>
      <c r="E405" s="76"/>
      <c r="F405" s="77"/>
      <c r="I405" s="76"/>
      <c r="M405" s="76"/>
      <c r="N405" s="77"/>
      <c r="Q405" s="76"/>
    </row>
    <row r="406">
      <c r="A406" s="75"/>
      <c r="B406" s="49"/>
      <c r="C406" s="49"/>
      <c r="D406" s="49"/>
      <c r="E406" s="76"/>
      <c r="F406" s="77"/>
      <c r="I406" s="76"/>
      <c r="M406" s="76"/>
      <c r="N406" s="77"/>
      <c r="Q406" s="76"/>
    </row>
    <row r="407">
      <c r="A407" s="75"/>
      <c r="B407" s="49"/>
      <c r="C407" s="49"/>
      <c r="D407" s="49"/>
      <c r="E407" s="76"/>
      <c r="F407" s="77"/>
      <c r="I407" s="76"/>
      <c r="M407" s="76"/>
      <c r="N407" s="77"/>
      <c r="Q407" s="76"/>
    </row>
    <row r="408">
      <c r="A408" s="75"/>
      <c r="B408" s="49"/>
      <c r="C408" s="49"/>
      <c r="D408" s="49"/>
      <c r="E408" s="76"/>
      <c r="F408" s="77"/>
      <c r="I408" s="76"/>
      <c r="M408" s="76"/>
      <c r="N408" s="77"/>
      <c r="Q408" s="76"/>
    </row>
    <row r="409">
      <c r="A409" s="75"/>
      <c r="B409" s="49"/>
      <c r="C409" s="49"/>
      <c r="D409" s="49"/>
      <c r="E409" s="76"/>
      <c r="F409" s="77"/>
      <c r="I409" s="76"/>
      <c r="M409" s="76"/>
      <c r="N409" s="77"/>
      <c r="Q409" s="76"/>
    </row>
    <row r="410">
      <c r="A410" s="75"/>
      <c r="B410" s="49"/>
      <c r="C410" s="49"/>
      <c r="D410" s="49"/>
      <c r="E410" s="76"/>
      <c r="F410" s="77"/>
      <c r="I410" s="76"/>
      <c r="M410" s="76"/>
      <c r="N410" s="77"/>
      <c r="Q410" s="76"/>
    </row>
    <row r="411">
      <c r="A411" s="75"/>
      <c r="B411" s="49"/>
      <c r="C411" s="49"/>
      <c r="D411" s="49"/>
      <c r="E411" s="76"/>
      <c r="F411" s="77"/>
      <c r="I411" s="76"/>
      <c r="M411" s="76"/>
      <c r="N411" s="77"/>
      <c r="Q411" s="76"/>
    </row>
    <row r="412">
      <c r="A412" s="75"/>
      <c r="B412" s="49"/>
      <c r="C412" s="49"/>
      <c r="D412" s="49"/>
      <c r="E412" s="76"/>
      <c r="F412" s="77"/>
      <c r="I412" s="76"/>
      <c r="M412" s="76"/>
      <c r="N412" s="77"/>
      <c r="Q412" s="76"/>
    </row>
    <row r="413">
      <c r="A413" s="75"/>
      <c r="B413" s="49"/>
      <c r="C413" s="49"/>
      <c r="D413" s="49"/>
      <c r="E413" s="76"/>
      <c r="F413" s="77"/>
      <c r="I413" s="76"/>
      <c r="M413" s="76"/>
      <c r="N413" s="77"/>
      <c r="Q413" s="76"/>
    </row>
    <row r="414">
      <c r="A414" s="75"/>
      <c r="B414" s="49"/>
      <c r="C414" s="49"/>
      <c r="D414" s="49"/>
      <c r="E414" s="76"/>
      <c r="F414" s="77"/>
      <c r="I414" s="76"/>
      <c r="M414" s="76"/>
      <c r="N414" s="77"/>
      <c r="Q414" s="76"/>
    </row>
    <row r="415">
      <c r="A415" s="75"/>
      <c r="B415" s="49"/>
      <c r="C415" s="49"/>
      <c r="D415" s="49"/>
      <c r="E415" s="76"/>
      <c r="F415" s="77"/>
      <c r="I415" s="76"/>
      <c r="M415" s="76"/>
      <c r="N415" s="77"/>
      <c r="Q415" s="76"/>
    </row>
    <row r="416">
      <c r="A416" s="75"/>
      <c r="B416" s="49"/>
      <c r="C416" s="49"/>
      <c r="D416" s="49"/>
      <c r="E416" s="76"/>
      <c r="F416" s="77"/>
      <c r="I416" s="76"/>
      <c r="M416" s="76"/>
      <c r="N416" s="77"/>
      <c r="Q416" s="76"/>
    </row>
    <row r="417">
      <c r="A417" s="75"/>
      <c r="B417" s="49"/>
      <c r="C417" s="49"/>
      <c r="D417" s="49"/>
      <c r="E417" s="76"/>
      <c r="F417" s="77"/>
      <c r="I417" s="76"/>
      <c r="M417" s="76"/>
      <c r="N417" s="77"/>
      <c r="Q417" s="76"/>
    </row>
    <row r="418">
      <c r="A418" s="75"/>
      <c r="B418" s="49"/>
      <c r="C418" s="49"/>
      <c r="D418" s="49"/>
      <c r="E418" s="76"/>
      <c r="F418" s="77"/>
      <c r="I418" s="76"/>
      <c r="M418" s="76"/>
      <c r="N418" s="77"/>
      <c r="Q418" s="76"/>
    </row>
    <row r="419">
      <c r="A419" s="75"/>
      <c r="B419" s="49"/>
      <c r="C419" s="49"/>
      <c r="D419" s="49"/>
      <c r="E419" s="76"/>
      <c r="F419" s="77"/>
      <c r="I419" s="76"/>
      <c r="M419" s="76"/>
      <c r="N419" s="77"/>
      <c r="Q419" s="76"/>
    </row>
    <row r="420">
      <c r="A420" s="75"/>
      <c r="B420" s="49"/>
      <c r="C420" s="49"/>
      <c r="D420" s="49"/>
      <c r="E420" s="76"/>
      <c r="F420" s="77"/>
      <c r="I420" s="76"/>
      <c r="M420" s="76"/>
      <c r="N420" s="77"/>
      <c r="Q420" s="76"/>
    </row>
    <row r="421">
      <c r="A421" s="75"/>
      <c r="B421" s="49"/>
      <c r="C421" s="49"/>
      <c r="D421" s="49"/>
      <c r="E421" s="76"/>
      <c r="F421" s="77"/>
      <c r="I421" s="76"/>
      <c r="M421" s="76"/>
      <c r="N421" s="77"/>
      <c r="Q421" s="76"/>
    </row>
    <row r="422">
      <c r="A422" s="75"/>
      <c r="B422" s="49"/>
      <c r="C422" s="49"/>
      <c r="D422" s="49"/>
      <c r="E422" s="76"/>
      <c r="F422" s="77"/>
      <c r="I422" s="76"/>
      <c r="M422" s="76"/>
      <c r="N422" s="77"/>
      <c r="Q422" s="76"/>
    </row>
    <row r="423">
      <c r="A423" s="75"/>
      <c r="B423" s="49"/>
      <c r="C423" s="49"/>
      <c r="D423" s="49"/>
      <c r="E423" s="76"/>
      <c r="F423" s="77"/>
      <c r="I423" s="76"/>
      <c r="M423" s="76"/>
      <c r="N423" s="77"/>
      <c r="Q423" s="76"/>
    </row>
    <row r="424">
      <c r="A424" s="75"/>
      <c r="B424" s="49"/>
      <c r="C424" s="49"/>
      <c r="D424" s="49"/>
      <c r="E424" s="76"/>
      <c r="F424" s="77"/>
      <c r="I424" s="76"/>
      <c r="M424" s="76"/>
      <c r="N424" s="77"/>
      <c r="Q424" s="76"/>
    </row>
    <row r="425">
      <c r="A425" s="75"/>
      <c r="B425" s="49"/>
      <c r="C425" s="49"/>
      <c r="D425" s="49"/>
      <c r="E425" s="76"/>
      <c r="F425" s="77"/>
      <c r="I425" s="76"/>
      <c r="M425" s="76"/>
      <c r="N425" s="77"/>
      <c r="Q425" s="76"/>
    </row>
    <row r="426">
      <c r="A426" s="75"/>
      <c r="B426" s="49"/>
      <c r="C426" s="49"/>
      <c r="D426" s="49"/>
      <c r="E426" s="76"/>
      <c r="F426" s="77"/>
      <c r="I426" s="76"/>
      <c r="M426" s="76"/>
      <c r="N426" s="77"/>
      <c r="Q426" s="76"/>
    </row>
    <row r="427">
      <c r="A427" s="75"/>
      <c r="B427" s="49"/>
      <c r="C427" s="49"/>
      <c r="D427" s="49"/>
      <c r="E427" s="76"/>
      <c r="F427" s="77"/>
      <c r="I427" s="76"/>
      <c r="M427" s="76"/>
      <c r="N427" s="77"/>
      <c r="Q427" s="76"/>
    </row>
    <row r="428">
      <c r="A428" s="75"/>
      <c r="B428" s="49"/>
      <c r="C428" s="49"/>
      <c r="D428" s="49"/>
      <c r="E428" s="76"/>
      <c r="F428" s="77"/>
      <c r="I428" s="76"/>
      <c r="M428" s="76"/>
      <c r="N428" s="77"/>
      <c r="Q428" s="76"/>
    </row>
    <row r="429">
      <c r="A429" s="75"/>
      <c r="B429" s="49"/>
      <c r="C429" s="49"/>
      <c r="D429" s="49"/>
      <c r="E429" s="76"/>
      <c r="F429" s="77"/>
      <c r="I429" s="76"/>
      <c r="M429" s="76"/>
      <c r="N429" s="77"/>
      <c r="Q429" s="76"/>
    </row>
    <row r="430">
      <c r="A430" s="75"/>
      <c r="B430" s="49"/>
      <c r="C430" s="49"/>
      <c r="D430" s="49"/>
      <c r="E430" s="76"/>
      <c r="F430" s="77"/>
      <c r="I430" s="76"/>
      <c r="M430" s="76"/>
      <c r="N430" s="77"/>
      <c r="Q430" s="76"/>
    </row>
    <row r="431">
      <c r="A431" s="75"/>
      <c r="B431" s="49"/>
      <c r="C431" s="49"/>
      <c r="D431" s="49"/>
      <c r="E431" s="76"/>
      <c r="F431" s="77"/>
      <c r="I431" s="76"/>
      <c r="M431" s="76"/>
      <c r="N431" s="77"/>
      <c r="Q431" s="76"/>
    </row>
    <row r="432">
      <c r="A432" s="75"/>
      <c r="B432" s="49"/>
      <c r="C432" s="49"/>
      <c r="D432" s="49"/>
      <c r="E432" s="76"/>
      <c r="F432" s="77"/>
      <c r="I432" s="76"/>
      <c r="M432" s="76"/>
      <c r="N432" s="77"/>
      <c r="Q432" s="76"/>
    </row>
    <row r="433">
      <c r="A433" s="75"/>
      <c r="B433" s="49"/>
      <c r="C433" s="49"/>
      <c r="D433" s="49"/>
      <c r="E433" s="76"/>
      <c r="F433" s="77"/>
      <c r="I433" s="76"/>
      <c r="M433" s="76"/>
      <c r="N433" s="77"/>
      <c r="Q433" s="76"/>
    </row>
    <row r="434">
      <c r="A434" s="75"/>
      <c r="B434" s="49"/>
      <c r="C434" s="49"/>
      <c r="D434" s="49"/>
      <c r="E434" s="76"/>
      <c r="F434" s="77"/>
      <c r="I434" s="76"/>
      <c r="M434" s="76"/>
      <c r="N434" s="77"/>
      <c r="Q434" s="76"/>
    </row>
    <row r="435">
      <c r="A435" s="75"/>
      <c r="B435" s="49"/>
      <c r="C435" s="49"/>
      <c r="D435" s="49"/>
      <c r="E435" s="76"/>
      <c r="F435" s="77"/>
      <c r="I435" s="76"/>
      <c r="M435" s="76"/>
      <c r="N435" s="77"/>
      <c r="Q435" s="76"/>
    </row>
    <row r="436">
      <c r="A436" s="75"/>
      <c r="B436" s="49"/>
      <c r="C436" s="49"/>
      <c r="D436" s="49"/>
      <c r="E436" s="76"/>
      <c r="F436" s="77"/>
      <c r="I436" s="76"/>
      <c r="M436" s="76"/>
      <c r="N436" s="77"/>
      <c r="Q436" s="76"/>
    </row>
    <row r="437">
      <c r="A437" s="75"/>
      <c r="B437" s="49"/>
      <c r="C437" s="49"/>
      <c r="D437" s="49"/>
      <c r="E437" s="76"/>
      <c r="F437" s="77"/>
      <c r="I437" s="76"/>
      <c r="M437" s="76"/>
      <c r="N437" s="77"/>
      <c r="Q437" s="76"/>
    </row>
    <row r="438">
      <c r="A438" s="75"/>
      <c r="B438" s="49"/>
      <c r="C438" s="49"/>
      <c r="D438" s="49"/>
      <c r="E438" s="76"/>
      <c r="F438" s="77"/>
      <c r="I438" s="76"/>
      <c r="M438" s="76"/>
      <c r="N438" s="77"/>
      <c r="Q438" s="76"/>
    </row>
    <row r="439">
      <c r="A439" s="75"/>
      <c r="B439" s="49"/>
      <c r="C439" s="49"/>
      <c r="D439" s="49"/>
      <c r="E439" s="76"/>
      <c r="F439" s="77"/>
      <c r="I439" s="76"/>
      <c r="M439" s="76"/>
      <c r="N439" s="77"/>
      <c r="Q439" s="76"/>
    </row>
    <row r="440">
      <c r="A440" s="75"/>
      <c r="B440" s="49"/>
      <c r="C440" s="49"/>
      <c r="D440" s="49"/>
      <c r="E440" s="76"/>
      <c r="F440" s="77"/>
      <c r="I440" s="76"/>
      <c r="M440" s="76"/>
      <c r="N440" s="77"/>
      <c r="Q440" s="76"/>
    </row>
    <row r="441">
      <c r="A441" s="75"/>
      <c r="B441" s="49"/>
      <c r="C441" s="49"/>
      <c r="D441" s="49"/>
      <c r="E441" s="76"/>
      <c r="F441" s="77"/>
      <c r="I441" s="76"/>
      <c r="M441" s="76"/>
      <c r="N441" s="77"/>
      <c r="Q441" s="76"/>
    </row>
    <row r="442">
      <c r="A442" s="75"/>
      <c r="B442" s="49"/>
      <c r="C442" s="49"/>
      <c r="D442" s="49"/>
      <c r="E442" s="76"/>
      <c r="F442" s="77"/>
      <c r="I442" s="76"/>
      <c r="M442" s="76"/>
      <c r="N442" s="77"/>
      <c r="Q442" s="76"/>
    </row>
    <row r="443">
      <c r="A443" s="75"/>
      <c r="B443" s="49"/>
      <c r="C443" s="49"/>
      <c r="D443" s="49"/>
      <c r="E443" s="76"/>
      <c r="F443" s="77"/>
      <c r="I443" s="76"/>
      <c r="M443" s="76"/>
      <c r="N443" s="77"/>
      <c r="Q443" s="76"/>
    </row>
    <row r="444">
      <c r="A444" s="75"/>
      <c r="B444" s="49"/>
      <c r="C444" s="49"/>
      <c r="D444" s="49"/>
      <c r="E444" s="76"/>
      <c r="F444" s="77"/>
      <c r="I444" s="76"/>
      <c r="M444" s="76"/>
      <c r="N444" s="77"/>
      <c r="Q444" s="76"/>
    </row>
    <row r="445">
      <c r="A445" s="75"/>
      <c r="B445" s="49"/>
      <c r="C445" s="49"/>
      <c r="D445" s="49"/>
      <c r="E445" s="76"/>
      <c r="F445" s="77"/>
      <c r="I445" s="76"/>
      <c r="M445" s="76"/>
      <c r="N445" s="77"/>
      <c r="Q445" s="76"/>
    </row>
    <row r="446">
      <c r="A446" s="75"/>
      <c r="B446" s="49"/>
      <c r="C446" s="49"/>
      <c r="D446" s="49"/>
      <c r="E446" s="76"/>
      <c r="F446" s="77"/>
      <c r="I446" s="76"/>
      <c r="M446" s="76"/>
      <c r="N446" s="77"/>
      <c r="Q446" s="76"/>
    </row>
    <row r="447">
      <c r="A447" s="75"/>
      <c r="B447" s="49"/>
      <c r="C447" s="49"/>
      <c r="D447" s="49"/>
      <c r="E447" s="76"/>
      <c r="F447" s="77"/>
      <c r="I447" s="76"/>
      <c r="M447" s="76"/>
      <c r="N447" s="77"/>
      <c r="Q447" s="76"/>
    </row>
    <row r="448">
      <c r="A448" s="75"/>
      <c r="B448" s="49"/>
      <c r="C448" s="49"/>
      <c r="D448" s="49"/>
      <c r="E448" s="76"/>
      <c r="F448" s="77"/>
      <c r="I448" s="76"/>
      <c r="M448" s="76"/>
      <c r="N448" s="77"/>
      <c r="Q448" s="76"/>
    </row>
    <row r="449">
      <c r="A449" s="75"/>
      <c r="B449" s="49"/>
      <c r="C449" s="49"/>
      <c r="D449" s="49"/>
      <c r="E449" s="76"/>
      <c r="F449" s="77"/>
      <c r="I449" s="76"/>
      <c r="M449" s="76"/>
      <c r="N449" s="77"/>
      <c r="Q449" s="76"/>
    </row>
    <row r="450">
      <c r="A450" s="75"/>
      <c r="B450" s="49"/>
      <c r="C450" s="49"/>
      <c r="D450" s="49"/>
      <c r="E450" s="76"/>
      <c r="F450" s="77"/>
      <c r="I450" s="76"/>
      <c r="M450" s="76"/>
      <c r="N450" s="77"/>
      <c r="Q450" s="76"/>
    </row>
    <row r="451">
      <c r="A451" s="75"/>
      <c r="B451" s="49"/>
      <c r="C451" s="49"/>
      <c r="D451" s="49"/>
      <c r="E451" s="76"/>
      <c r="F451" s="77"/>
      <c r="I451" s="76"/>
      <c r="M451" s="76"/>
      <c r="N451" s="77"/>
      <c r="Q451" s="76"/>
    </row>
    <row r="452">
      <c r="A452" s="75"/>
      <c r="B452" s="49"/>
      <c r="C452" s="49"/>
      <c r="D452" s="49"/>
      <c r="E452" s="76"/>
      <c r="F452" s="77"/>
      <c r="I452" s="76"/>
      <c r="M452" s="76"/>
      <c r="N452" s="77"/>
      <c r="Q452" s="76"/>
    </row>
    <row r="453">
      <c r="A453" s="75"/>
      <c r="B453" s="49"/>
      <c r="C453" s="49"/>
      <c r="D453" s="49"/>
      <c r="E453" s="76"/>
      <c r="F453" s="77"/>
      <c r="I453" s="76"/>
      <c r="M453" s="76"/>
      <c r="N453" s="77"/>
      <c r="Q453" s="76"/>
    </row>
    <row r="454">
      <c r="A454" s="75"/>
      <c r="B454" s="49"/>
      <c r="C454" s="49"/>
      <c r="D454" s="49"/>
      <c r="E454" s="76"/>
      <c r="F454" s="77"/>
      <c r="I454" s="76"/>
      <c r="M454" s="76"/>
      <c r="N454" s="77"/>
      <c r="Q454" s="76"/>
    </row>
    <row r="455">
      <c r="A455" s="75"/>
      <c r="B455" s="49"/>
      <c r="C455" s="49"/>
      <c r="D455" s="49"/>
      <c r="E455" s="76"/>
      <c r="F455" s="77"/>
      <c r="I455" s="76"/>
      <c r="M455" s="76"/>
      <c r="N455" s="77"/>
      <c r="Q455" s="76"/>
    </row>
    <row r="456">
      <c r="A456" s="75"/>
      <c r="B456" s="49"/>
      <c r="C456" s="49"/>
      <c r="D456" s="49"/>
      <c r="E456" s="76"/>
      <c r="F456" s="77"/>
      <c r="I456" s="76"/>
      <c r="M456" s="76"/>
      <c r="N456" s="77"/>
      <c r="Q456" s="76"/>
    </row>
    <row r="457">
      <c r="A457" s="75"/>
      <c r="B457" s="49"/>
      <c r="C457" s="49"/>
      <c r="D457" s="49"/>
      <c r="E457" s="76"/>
      <c r="F457" s="77"/>
      <c r="I457" s="76"/>
      <c r="M457" s="76"/>
      <c r="N457" s="77"/>
      <c r="Q457" s="76"/>
    </row>
    <row r="458">
      <c r="A458" s="75"/>
      <c r="B458" s="49"/>
      <c r="C458" s="49"/>
      <c r="D458" s="49"/>
      <c r="E458" s="76"/>
      <c r="F458" s="77"/>
      <c r="I458" s="76"/>
      <c r="M458" s="76"/>
      <c r="N458" s="77"/>
      <c r="Q458" s="76"/>
    </row>
    <row r="459">
      <c r="A459" s="75"/>
      <c r="B459" s="49"/>
      <c r="C459" s="49"/>
      <c r="D459" s="49"/>
      <c r="E459" s="76"/>
      <c r="F459" s="77"/>
      <c r="I459" s="76"/>
      <c r="M459" s="76"/>
      <c r="N459" s="77"/>
      <c r="Q459" s="76"/>
    </row>
    <row r="460">
      <c r="A460" s="75"/>
      <c r="B460" s="49"/>
      <c r="C460" s="49"/>
      <c r="D460" s="49"/>
      <c r="E460" s="76"/>
      <c r="F460" s="77"/>
      <c r="I460" s="76"/>
      <c r="M460" s="76"/>
      <c r="N460" s="77"/>
      <c r="Q460" s="76"/>
    </row>
    <row r="461">
      <c r="A461" s="75"/>
      <c r="B461" s="49"/>
      <c r="C461" s="49"/>
      <c r="D461" s="49"/>
      <c r="E461" s="76"/>
      <c r="F461" s="77"/>
      <c r="I461" s="76"/>
      <c r="M461" s="76"/>
      <c r="N461" s="77"/>
      <c r="Q461" s="76"/>
    </row>
    <row r="462">
      <c r="A462" s="75"/>
      <c r="B462" s="49"/>
      <c r="C462" s="49"/>
      <c r="D462" s="49"/>
      <c r="E462" s="76"/>
      <c r="F462" s="77"/>
      <c r="I462" s="76"/>
      <c r="M462" s="76"/>
      <c r="N462" s="77"/>
      <c r="Q462" s="76"/>
    </row>
    <row r="463">
      <c r="A463" s="75"/>
      <c r="B463" s="49"/>
      <c r="C463" s="49"/>
      <c r="D463" s="49"/>
      <c r="E463" s="76"/>
      <c r="F463" s="77"/>
      <c r="I463" s="76"/>
      <c r="M463" s="76"/>
      <c r="N463" s="77"/>
      <c r="Q463" s="76"/>
    </row>
    <row r="464">
      <c r="A464" s="75"/>
      <c r="B464" s="49"/>
      <c r="C464" s="49"/>
      <c r="D464" s="49"/>
      <c r="E464" s="76"/>
      <c r="F464" s="77"/>
      <c r="I464" s="76"/>
      <c r="M464" s="76"/>
      <c r="N464" s="77"/>
      <c r="Q464" s="76"/>
    </row>
    <row r="465">
      <c r="A465" s="75"/>
      <c r="B465" s="49"/>
      <c r="C465" s="49"/>
      <c r="D465" s="49"/>
      <c r="E465" s="76"/>
      <c r="F465" s="77"/>
      <c r="I465" s="76"/>
      <c r="M465" s="76"/>
      <c r="N465" s="77"/>
      <c r="Q465" s="76"/>
    </row>
    <row r="466">
      <c r="A466" s="75"/>
      <c r="B466" s="49"/>
      <c r="C466" s="49"/>
      <c r="D466" s="49"/>
      <c r="E466" s="76"/>
      <c r="F466" s="77"/>
      <c r="I466" s="76"/>
      <c r="M466" s="76"/>
      <c r="N466" s="77"/>
      <c r="Q466" s="76"/>
    </row>
    <row r="467">
      <c r="A467" s="75"/>
      <c r="B467" s="49"/>
      <c r="C467" s="49"/>
      <c r="D467" s="49"/>
      <c r="E467" s="76"/>
      <c r="F467" s="77"/>
      <c r="I467" s="76"/>
      <c r="M467" s="76"/>
      <c r="N467" s="77"/>
      <c r="Q467" s="76"/>
    </row>
    <row r="468">
      <c r="A468" s="75"/>
      <c r="B468" s="49"/>
      <c r="C468" s="49"/>
      <c r="D468" s="49"/>
      <c r="E468" s="76"/>
      <c r="F468" s="77"/>
      <c r="I468" s="76"/>
      <c r="M468" s="76"/>
      <c r="N468" s="77"/>
      <c r="Q468" s="76"/>
    </row>
    <row r="469">
      <c r="A469" s="75"/>
      <c r="B469" s="49"/>
      <c r="C469" s="49"/>
      <c r="D469" s="49"/>
      <c r="E469" s="76"/>
      <c r="F469" s="77"/>
      <c r="I469" s="76"/>
      <c r="M469" s="76"/>
      <c r="N469" s="77"/>
      <c r="Q469" s="76"/>
    </row>
    <row r="470">
      <c r="A470" s="75"/>
      <c r="B470" s="49"/>
      <c r="C470" s="49"/>
      <c r="D470" s="49"/>
      <c r="E470" s="76"/>
      <c r="F470" s="77"/>
      <c r="I470" s="76"/>
      <c r="M470" s="76"/>
      <c r="N470" s="77"/>
      <c r="Q470" s="76"/>
    </row>
    <row r="471">
      <c r="A471" s="75"/>
      <c r="B471" s="49"/>
      <c r="C471" s="49"/>
      <c r="D471" s="49"/>
      <c r="E471" s="76"/>
      <c r="F471" s="77"/>
      <c r="I471" s="76"/>
      <c r="M471" s="76"/>
      <c r="N471" s="77"/>
      <c r="Q471" s="76"/>
    </row>
    <row r="472">
      <c r="A472" s="75"/>
      <c r="B472" s="49"/>
      <c r="C472" s="49"/>
      <c r="D472" s="49"/>
      <c r="E472" s="76"/>
      <c r="F472" s="77"/>
      <c r="I472" s="76"/>
      <c r="M472" s="76"/>
      <c r="N472" s="77"/>
      <c r="Q472" s="76"/>
    </row>
    <row r="473">
      <c r="A473" s="75"/>
      <c r="B473" s="49"/>
      <c r="C473" s="49"/>
      <c r="D473" s="49"/>
      <c r="E473" s="76"/>
      <c r="F473" s="77"/>
      <c r="I473" s="76"/>
      <c r="M473" s="76"/>
      <c r="N473" s="77"/>
      <c r="Q473" s="76"/>
    </row>
    <row r="474">
      <c r="A474" s="75"/>
      <c r="B474" s="49"/>
      <c r="C474" s="49"/>
      <c r="D474" s="49"/>
      <c r="E474" s="76"/>
      <c r="F474" s="77"/>
      <c r="I474" s="76"/>
      <c r="M474" s="76"/>
      <c r="N474" s="77"/>
      <c r="Q474" s="76"/>
    </row>
    <row r="475">
      <c r="A475" s="75"/>
      <c r="B475" s="49"/>
      <c r="C475" s="49"/>
      <c r="D475" s="49"/>
      <c r="E475" s="76"/>
      <c r="F475" s="77"/>
      <c r="I475" s="76"/>
      <c r="M475" s="76"/>
      <c r="N475" s="77"/>
      <c r="Q475" s="76"/>
    </row>
    <row r="476">
      <c r="A476" s="75"/>
      <c r="B476" s="49"/>
      <c r="C476" s="49"/>
      <c r="D476" s="49"/>
      <c r="E476" s="76"/>
      <c r="F476" s="77"/>
      <c r="I476" s="76"/>
      <c r="M476" s="76"/>
      <c r="N476" s="77"/>
      <c r="Q476" s="76"/>
    </row>
    <row r="477">
      <c r="A477" s="75"/>
      <c r="B477" s="49"/>
      <c r="C477" s="49"/>
      <c r="D477" s="49"/>
      <c r="E477" s="76"/>
      <c r="F477" s="77"/>
      <c r="I477" s="76"/>
      <c r="M477" s="76"/>
      <c r="N477" s="77"/>
      <c r="Q477" s="76"/>
    </row>
    <row r="478">
      <c r="A478" s="75"/>
      <c r="B478" s="49"/>
      <c r="C478" s="49"/>
      <c r="D478" s="49"/>
      <c r="E478" s="76"/>
      <c r="F478" s="77"/>
      <c r="I478" s="76"/>
      <c r="M478" s="76"/>
      <c r="N478" s="77"/>
      <c r="Q478" s="76"/>
    </row>
    <row r="479">
      <c r="A479" s="75"/>
      <c r="B479" s="49"/>
      <c r="C479" s="49"/>
      <c r="D479" s="49"/>
      <c r="E479" s="76"/>
      <c r="F479" s="77"/>
      <c r="I479" s="76"/>
      <c r="M479" s="76"/>
      <c r="N479" s="77"/>
      <c r="Q479" s="76"/>
    </row>
    <row r="480">
      <c r="A480" s="75"/>
      <c r="B480" s="49"/>
      <c r="C480" s="49"/>
      <c r="D480" s="49"/>
      <c r="E480" s="76"/>
      <c r="F480" s="77"/>
      <c r="I480" s="76"/>
      <c r="M480" s="76"/>
      <c r="N480" s="77"/>
      <c r="Q480" s="76"/>
    </row>
    <row r="481">
      <c r="A481" s="75"/>
      <c r="B481" s="49"/>
      <c r="C481" s="49"/>
      <c r="D481" s="49"/>
      <c r="E481" s="76"/>
      <c r="F481" s="77"/>
      <c r="I481" s="76"/>
      <c r="M481" s="76"/>
      <c r="N481" s="77"/>
      <c r="Q481" s="76"/>
    </row>
    <row r="482">
      <c r="A482" s="75"/>
      <c r="B482" s="49"/>
      <c r="C482" s="49"/>
      <c r="D482" s="49"/>
      <c r="E482" s="76"/>
      <c r="F482" s="77"/>
      <c r="I482" s="76"/>
      <c r="M482" s="76"/>
      <c r="N482" s="77"/>
      <c r="Q482" s="76"/>
    </row>
    <row r="483">
      <c r="A483" s="75"/>
      <c r="B483" s="49"/>
      <c r="C483" s="49"/>
      <c r="D483" s="49"/>
      <c r="E483" s="76"/>
      <c r="F483" s="77"/>
      <c r="I483" s="76"/>
      <c r="M483" s="76"/>
      <c r="N483" s="77"/>
      <c r="Q483" s="76"/>
    </row>
    <row r="484">
      <c r="A484" s="75"/>
      <c r="B484" s="49"/>
      <c r="C484" s="49"/>
      <c r="D484" s="49"/>
      <c r="E484" s="76"/>
      <c r="F484" s="77"/>
      <c r="I484" s="76"/>
      <c r="M484" s="76"/>
      <c r="N484" s="77"/>
      <c r="Q484" s="76"/>
    </row>
    <row r="485">
      <c r="A485" s="75"/>
      <c r="B485" s="49"/>
      <c r="C485" s="49"/>
      <c r="D485" s="49"/>
      <c r="E485" s="76"/>
      <c r="F485" s="77"/>
      <c r="I485" s="76"/>
      <c r="M485" s="76"/>
      <c r="N485" s="77"/>
      <c r="Q485" s="76"/>
    </row>
    <row r="486">
      <c r="A486" s="75"/>
      <c r="B486" s="49"/>
      <c r="C486" s="49"/>
      <c r="D486" s="49"/>
      <c r="E486" s="76"/>
      <c r="F486" s="77"/>
      <c r="I486" s="76"/>
      <c r="M486" s="76"/>
      <c r="N486" s="77"/>
      <c r="Q486" s="76"/>
    </row>
    <row r="487">
      <c r="A487" s="75"/>
      <c r="B487" s="49"/>
      <c r="C487" s="49"/>
      <c r="D487" s="49"/>
      <c r="E487" s="76"/>
      <c r="F487" s="77"/>
      <c r="I487" s="76"/>
      <c r="M487" s="76"/>
      <c r="N487" s="77"/>
      <c r="Q487" s="76"/>
    </row>
    <row r="488">
      <c r="A488" s="75"/>
      <c r="B488" s="49"/>
      <c r="C488" s="49"/>
      <c r="D488" s="49"/>
      <c r="E488" s="76"/>
      <c r="F488" s="77"/>
      <c r="I488" s="76"/>
      <c r="M488" s="76"/>
      <c r="N488" s="77"/>
      <c r="Q488" s="76"/>
    </row>
    <row r="489">
      <c r="A489" s="75"/>
      <c r="B489" s="49"/>
      <c r="C489" s="49"/>
      <c r="D489" s="49"/>
      <c r="E489" s="76"/>
      <c r="F489" s="77"/>
      <c r="I489" s="76"/>
      <c r="M489" s="76"/>
      <c r="N489" s="77"/>
      <c r="Q489" s="76"/>
    </row>
    <row r="490">
      <c r="A490" s="75"/>
      <c r="B490" s="49"/>
      <c r="C490" s="49"/>
      <c r="D490" s="49"/>
      <c r="E490" s="76"/>
      <c r="F490" s="77"/>
      <c r="I490" s="76"/>
      <c r="M490" s="76"/>
      <c r="N490" s="77"/>
      <c r="Q490" s="76"/>
    </row>
    <row r="491">
      <c r="A491" s="75"/>
      <c r="B491" s="49"/>
      <c r="C491" s="49"/>
      <c r="D491" s="49"/>
      <c r="E491" s="76"/>
      <c r="F491" s="77"/>
      <c r="I491" s="76"/>
      <c r="M491" s="76"/>
      <c r="N491" s="77"/>
      <c r="Q491" s="76"/>
    </row>
    <row r="492">
      <c r="A492" s="75"/>
      <c r="B492" s="49"/>
      <c r="C492" s="49"/>
      <c r="D492" s="49"/>
      <c r="E492" s="76"/>
      <c r="F492" s="77"/>
      <c r="I492" s="76"/>
      <c r="M492" s="76"/>
      <c r="N492" s="77"/>
      <c r="Q492" s="76"/>
    </row>
    <row r="493">
      <c r="A493" s="75"/>
      <c r="B493" s="49"/>
      <c r="C493" s="49"/>
      <c r="D493" s="49"/>
      <c r="E493" s="76"/>
      <c r="F493" s="77"/>
      <c r="I493" s="76"/>
      <c r="M493" s="76"/>
      <c r="N493" s="77"/>
      <c r="Q493" s="76"/>
    </row>
    <row r="494">
      <c r="A494" s="75"/>
      <c r="B494" s="49"/>
      <c r="C494" s="49"/>
      <c r="D494" s="49"/>
      <c r="E494" s="76"/>
      <c r="F494" s="77"/>
      <c r="I494" s="76"/>
      <c r="M494" s="76"/>
      <c r="N494" s="77"/>
      <c r="Q494" s="76"/>
    </row>
    <row r="495">
      <c r="A495" s="75"/>
      <c r="B495" s="49"/>
      <c r="C495" s="49"/>
      <c r="D495" s="49"/>
      <c r="E495" s="76"/>
      <c r="F495" s="77"/>
      <c r="I495" s="76"/>
      <c r="M495" s="76"/>
      <c r="N495" s="77"/>
      <c r="Q495" s="76"/>
    </row>
    <row r="496">
      <c r="A496" s="75"/>
      <c r="B496" s="49"/>
      <c r="C496" s="49"/>
      <c r="D496" s="49"/>
      <c r="E496" s="76"/>
      <c r="F496" s="77"/>
      <c r="I496" s="76"/>
      <c r="M496" s="76"/>
      <c r="N496" s="77"/>
      <c r="Q496" s="76"/>
    </row>
    <row r="497">
      <c r="A497" s="75"/>
      <c r="B497" s="49"/>
      <c r="C497" s="49"/>
      <c r="D497" s="49"/>
      <c r="E497" s="76"/>
      <c r="F497" s="77"/>
      <c r="I497" s="76"/>
      <c r="M497" s="76"/>
      <c r="N497" s="77"/>
      <c r="Q497" s="76"/>
    </row>
    <row r="498">
      <c r="A498" s="75"/>
      <c r="B498" s="49"/>
      <c r="C498" s="49"/>
      <c r="D498" s="49"/>
      <c r="E498" s="76"/>
      <c r="F498" s="77"/>
      <c r="I498" s="76"/>
      <c r="M498" s="76"/>
      <c r="N498" s="77"/>
      <c r="Q498" s="76"/>
    </row>
    <row r="499">
      <c r="A499" s="75"/>
      <c r="B499" s="49"/>
      <c r="C499" s="49"/>
      <c r="D499" s="49"/>
      <c r="E499" s="76"/>
      <c r="F499" s="77"/>
      <c r="I499" s="76"/>
      <c r="M499" s="76"/>
      <c r="N499" s="77"/>
      <c r="Q499" s="76"/>
    </row>
    <row r="500">
      <c r="A500" s="75"/>
      <c r="B500" s="49"/>
      <c r="C500" s="49"/>
      <c r="D500" s="49"/>
      <c r="E500" s="76"/>
      <c r="F500" s="77"/>
      <c r="I500" s="76"/>
      <c r="M500" s="76"/>
      <c r="N500" s="77"/>
      <c r="Q500" s="76"/>
    </row>
    <row r="501">
      <c r="A501" s="75"/>
      <c r="B501" s="49"/>
      <c r="C501" s="49"/>
      <c r="D501" s="49"/>
      <c r="E501" s="76"/>
      <c r="F501" s="77"/>
      <c r="I501" s="76"/>
      <c r="M501" s="76"/>
      <c r="N501" s="77"/>
      <c r="Q501" s="76"/>
    </row>
    <row r="502">
      <c r="A502" s="75"/>
      <c r="B502" s="49"/>
      <c r="C502" s="49"/>
      <c r="D502" s="49"/>
      <c r="E502" s="76"/>
      <c r="F502" s="77"/>
      <c r="I502" s="76"/>
      <c r="M502" s="76"/>
      <c r="N502" s="77"/>
      <c r="Q502" s="76"/>
    </row>
    <row r="503">
      <c r="A503" s="75"/>
      <c r="B503" s="49"/>
      <c r="C503" s="49"/>
      <c r="D503" s="49"/>
      <c r="E503" s="76"/>
      <c r="F503" s="77"/>
      <c r="I503" s="76"/>
      <c r="M503" s="76"/>
      <c r="N503" s="77"/>
      <c r="Q503" s="76"/>
    </row>
    <row r="504">
      <c r="A504" s="75"/>
      <c r="B504" s="49"/>
      <c r="C504" s="49"/>
      <c r="D504" s="49"/>
      <c r="E504" s="76"/>
      <c r="F504" s="77"/>
      <c r="I504" s="76"/>
      <c r="M504" s="76"/>
      <c r="N504" s="77"/>
      <c r="Q504" s="76"/>
    </row>
    <row r="505">
      <c r="A505" s="75"/>
      <c r="B505" s="49"/>
      <c r="C505" s="49"/>
      <c r="D505" s="49"/>
      <c r="E505" s="76"/>
      <c r="F505" s="77"/>
      <c r="I505" s="76"/>
      <c r="M505" s="76"/>
      <c r="N505" s="77"/>
      <c r="Q505" s="76"/>
    </row>
    <row r="506">
      <c r="A506" s="75"/>
      <c r="B506" s="49"/>
      <c r="C506" s="49"/>
      <c r="D506" s="49"/>
      <c r="E506" s="76"/>
      <c r="F506" s="77"/>
      <c r="I506" s="76"/>
      <c r="M506" s="76"/>
      <c r="N506" s="77"/>
      <c r="Q506" s="76"/>
    </row>
    <row r="507">
      <c r="A507" s="75"/>
      <c r="B507" s="49"/>
      <c r="C507" s="49"/>
      <c r="D507" s="49"/>
      <c r="E507" s="76"/>
      <c r="F507" s="77"/>
      <c r="I507" s="76"/>
      <c r="M507" s="76"/>
      <c r="N507" s="77"/>
      <c r="Q507" s="76"/>
    </row>
    <row r="508">
      <c r="A508" s="75"/>
      <c r="B508" s="49"/>
      <c r="C508" s="49"/>
      <c r="D508" s="49"/>
      <c r="E508" s="76"/>
      <c r="F508" s="77"/>
      <c r="I508" s="76"/>
      <c r="M508" s="76"/>
      <c r="N508" s="77"/>
      <c r="Q508" s="76"/>
    </row>
    <row r="509">
      <c r="A509" s="75"/>
      <c r="B509" s="49"/>
      <c r="C509" s="49"/>
      <c r="D509" s="49"/>
      <c r="E509" s="76"/>
      <c r="F509" s="77"/>
      <c r="I509" s="76"/>
      <c r="M509" s="76"/>
      <c r="N509" s="77"/>
      <c r="Q509" s="76"/>
    </row>
    <row r="510">
      <c r="A510" s="75"/>
      <c r="B510" s="49"/>
      <c r="C510" s="49"/>
      <c r="D510" s="49"/>
      <c r="E510" s="76"/>
      <c r="F510" s="77"/>
      <c r="I510" s="76"/>
      <c r="M510" s="76"/>
      <c r="N510" s="77"/>
      <c r="Q510" s="76"/>
    </row>
    <row r="511">
      <c r="A511" s="75"/>
      <c r="B511" s="49"/>
      <c r="C511" s="49"/>
      <c r="D511" s="49"/>
      <c r="E511" s="76"/>
      <c r="F511" s="77"/>
      <c r="I511" s="76"/>
      <c r="M511" s="76"/>
      <c r="N511" s="77"/>
      <c r="Q511" s="76"/>
    </row>
    <row r="512">
      <c r="A512" s="75"/>
      <c r="B512" s="49"/>
      <c r="C512" s="49"/>
      <c r="D512" s="49"/>
      <c r="E512" s="76"/>
      <c r="F512" s="77"/>
      <c r="I512" s="76"/>
      <c r="M512" s="76"/>
      <c r="N512" s="77"/>
      <c r="Q512" s="76"/>
    </row>
    <row r="513">
      <c r="A513" s="75"/>
      <c r="B513" s="49"/>
      <c r="C513" s="49"/>
      <c r="D513" s="49"/>
      <c r="E513" s="76"/>
      <c r="F513" s="77"/>
      <c r="I513" s="76"/>
      <c r="M513" s="76"/>
      <c r="N513" s="77"/>
      <c r="Q513" s="76"/>
    </row>
    <row r="514">
      <c r="A514" s="75"/>
      <c r="B514" s="49"/>
      <c r="C514" s="49"/>
      <c r="D514" s="49"/>
      <c r="E514" s="76"/>
      <c r="F514" s="77"/>
      <c r="I514" s="76"/>
      <c r="M514" s="76"/>
      <c r="N514" s="77"/>
      <c r="Q514" s="76"/>
    </row>
    <row r="515">
      <c r="A515" s="75"/>
      <c r="B515" s="49"/>
      <c r="C515" s="49"/>
      <c r="D515" s="49"/>
      <c r="E515" s="76"/>
      <c r="F515" s="77"/>
      <c r="I515" s="76"/>
      <c r="M515" s="76"/>
      <c r="N515" s="77"/>
      <c r="Q515" s="76"/>
    </row>
    <row r="516">
      <c r="A516" s="75"/>
      <c r="B516" s="49"/>
      <c r="C516" s="49"/>
      <c r="D516" s="49"/>
      <c r="E516" s="76"/>
      <c r="F516" s="77"/>
      <c r="I516" s="76"/>
      <c r="M516" s="76"/>
      <c r="N516" s="77"/>
      <c r="Q516" s="76"/>
    </row>
    <row r="517">
      <c r="A517" s="75"/>
      <c r="B517" s="49"/>
      <c r="C517" s="49"/>
      <c r="D517" s="49"/>
      <c r="E517" s="76"/>
      <c r="F517" s="77"/>
      <c r="I517" s="76"/>
      <c r="M517" s="76"/>
      <c r="N517" s="77"/>
      <c r="Q517" s="76"/>
    </row>
    <row r="518">
      <c r="A518" s="75"/>
      <c r="B518" s="49"/>
      <c r="C518" s="49"/>
      <c r="D518" s="49"/>
      <c r="E518" s="76"/>
      <c r="F518" s="77"/>
      <c r="I518" s="76"/>
      <c r="M518" s="76"/>
      <c r="N518" s="77"/>
      <c r="Q518" s="76"/>
    </row>
    <row r="519">
      <c r="A519" s="75"/>
      <c r="B519" s="49"/>
      <c r="C519" s="49"/>
      <c r="D519" s="49"/>
      <c r="E519" s="76"/>
      <c r="F519" s="77"/>
      <c r="I519" s="76"/>
      <c r="M519" s="76"/>
      <c r="N519" s="77"/>
      <c r="Q519" s="76"/>
    </row>
    <row r="520">
      <c r="A520" s="75"/>
      <c r="B520" s="49"/>
      <c r="C520" s="49"/>
      <c r="D520" s="49"/>
      <c r="E520" s="76"/>
      <c r="F520" s="77"/>
      <c r="I520" s="76"/>
      <c r="M520" s="76"/>
      <c r="N520" s="77"/>
      <c r="Q520" s="76"/>
    </row>
    <row r="521">
      <c r="A521" s="75"/>
      <c r="B521" s="49"/>
      <c r="C521" s="49"/>
      <c r="D521" s="49"/>
      <c r="E521" s="76"/>
      <c r="F521" s="77"/>
      <c r="I521" s="76"/>
      <c r="M521" s="76"/>
      <c r="N521" s="77"/>
      <c r="Q521" s="76"/>
    </row>
    <row r="522">
      <c r="A522" s="75"/>
      <c r="B522" s="49"/>
      <c r="C522" s="49"/>
      <c r="D522" s="49"/>
      <c r="E522" s="76"/>
      <c r="F522" s="77"/>
      <c r="I522" s="76"/>
      <c r="M522" s="76"/>
      <c r="N522" s="77"/>
      <c r="Q522" s="76"/>
    </row>
    <row r="523">
      <c r="A523" s="75"/>
      <c r="B523" s="49"/>
      <c r="C523" s="49"/>
      <c r="D523" s="49"/>
      <c r="E523" s="76"/>
      <c r="F523" s="77"/>
      <c r="I523" s="76"/>
      <c r="M523" s="76"/>
      <c r="N523" s="77"/>
      <c r="Q523" s="76"/>
    </row>
    <row r="524">
      <c r="A524" s="75"/>
      <c r="B524" s="49"/>
      <c r="C524" s="49"/>
      <c r="D524" s="49"/>
      <c r="E524" s="76"/>
      <c r="F524" s="77"/>
      <c r="I524" s="76"/>
      <c r="M524" s="76"/>
      <c r="N524" s="77"/>
      <c r="Q524" s="76"/>
    </row>
    <row r="525">
      <c r="A525" s="75"/>
      <c r="B525" s="49"/>
      <c r="C525" s="49"/>
      <c r="D525" s="49"/>
      <c r="E525" s="76"/>
      <c r="F525" s="77"/>
      <c r="I525" s="76"/>
      <c r="M525" s="76"/>
      <c r="N525" s="77"/>
      <c r="Q525" s="76"/>
    </row>
    <row r="526">
      <c r="A526" s="75"/>
      <c r="B526" s="49"/>
      <c r="C526" s="49"/>
      <c r="D526" s="49"/>
      <c r="E526" s="76"/>
      <c r="F526" s="77"/>
      <c r="I526" s="76"/>
      <c r="M526" s="76"/>
      <c r="N526" s="77"/>
      <c r="Q526" s="76"/>
    </row>
    <row r="527">
      <c r="A527" s="75"/>
      <c r="B527" s="49"/>
      <c r="C527" s="49"/>
      <c r="D527" s="49"/>
      <c r="E527" s="76"/>
      <c r="F527" s="77"/>
      <c r="I527" s="76"/>
      <c r="M527" s="76"/>
      <c r="N527" s="77"/>
      <c r="Q527" s="76"/>
    </row>
    <row r="528">
      <c r="A528" s="75"/>
      <c r="B528" s="49"/>
      <c r="C528" s="49"/>
      <c r="D528" s="49"/>
      <c r="E528" s="76"/>
      <c r="F528" s="77"/>
      <c r="I528" s="76"/>
      <c r="M528" s="76"/>
      <c r="N528" s="77"/>
      <c r="Q528" s="76"/>
    </row>
    <row r="529">
      <c r="A529" s="75"/>
      <c r="B529" s="49"/>
      <c r="C529" s="49"/>
      <c r="D529" s="49"/>
      <c r="E529" s="76"/>
      <c r="F529" s="77"/>
      <c r="I529" s="76"/>
      <c r="M529" s="76"/>
      <c r="N529" s="77"/>
      <c r="Q529" s="76"/>
    </row>
    <row r="530">
      <c r="A530" s="75"/>
      <c r="B530" s="49"/>
      <c r="C530" s="49"/>
      <c r="D530" s="49"/>
      <c r="E530" s="76"/>
      <c r="F530" s="77"/>
      <c r="I530" s="76"/>
      <c r="M530" s="76"/>
      <c r="N530" s="77"/>
      <c r="Q530" s="76"/>
    </row>
    <row r="531">
      <c r="A531" s="75"/>
      <c r="B531" s="49"/>
      <c r="C531" s="49"/>
      <c r="D531" s="49"/>
      <c r="E531" s="76"/>
      <c r="F531" s="77"/>
      <c r="I531" s="76"/>
      <c r="M531" s="76"/>
      <c r="N531" s="77"/>
      <c r="Q531" s="76"/>
    </row>
    <row r="532">
      <c r="A532" s="75"/>
      <c r="B532" s="49"/>
      <c r="C532" s="49"/>
      <c r="D532" s="49"/>
      <c r="E532" s="76"/>
      <c r="F532" s="77"/>
      <c r="I532" s="76"/>
      <c r="M532" s="76"/>
      <c r="N532" s="77"/>
      <c r="Q532" s="76"/>
    </row>
    <row r="533">
      <c r="A533" s="75"/>
      <c r="B533" s="49"/>
      <c r="C533" s="49"/>
      <c r="D533" s="49"/>
      <c r="E533" s="76"/>
      <c r="F533" s="77"/>
      <c r="I533" s="76"/>
      <c r="M533" s="76"/>
      <c r="N533" s="77"/>
      <c r="Q533" s="76"/>
    </row>
    <row r="534">
      <c r="A534" s="75"/>
      <c r="B534" s="49"/>
      <c r="C534" s="49"/>
      <c r="D534" s="49"/>
      <c r="E534" s="76"/>
      <c r="F534" s="77"/>
      <c r="I534" s="76"/>
      <c r="M534" s="76"/>
      <c r="N534" s="77"/>
      <c r="Q534" s="76"/>
    </row>
    <row r="535">
      <c r="A535" s="75"/>
      <c r="B535" s="49"/>
      <c r="C535" s="49"/>
      <c r="D535" s="49"/>
      <c r="E535" s="76"/>
      <c r="F535" s="77"/>
      <c r="I535" s="76"/>
      <c r="M535" s="76"/>
      <c r="N535" s="77"/>
      <c r="Q535" s="76"/>
    </row>
    <row r="536">
      <c r="A536" s="75"/>
      <c r="B536" s="49"/>
      <c r="C536" s="49"/>
      <c r="D536" s="49"/>
      <c r="E536" s="76"/>
      <c r="F536" s="77"/>
      <c r="I536" s="76"/>
      <c r="M536" s="76"/>
      <c r="N536" s="77"/>
      <c r="Q536" s="76"/>
    </row>
    <row r="537">
      <c r="A537" s="75"/>
      <c r="B537" s="49"/>
      <c r="C537" s="49"/>
      <c r="D537" s="49"/>
      <c r="E537" s="76"/>
      <c r="F537" s="77"/>
      <c r="I537" s="76"/>
      <c r="M537" s="76"/>
      <c r="N537" s="77"/>
      <c r="Q537" s="76"/>
    </row>
    <row r="538">
      <c r="A538" s="75"/>
      <c r="B538" s="49"/>
      <c r="C538" s="49"/>
      <c r="D538" s="49"/>
      <c r="E538" s="76"/>
      <c r="F538" s="77"/>
      <c r="I538" s="76"/>
      <c r="M538" s="76"/>
      <c r="N538" s="77"/>
      <c r="Q538" s="76"/>
    </row>
    <row r="539">
      <c r="A539" s="75"/>
      <c r="B539" s="49"/>
      <c r="C539" s="49"/>
      <c r="D539" s="49"/>
      <c r="E539" s="76"/>
      <c r="F539" s="77"/>
      <c r="I539" s="76"/>
      <c r="M539" s="76"/>
      <c r="N539" s="77"/>
      <c r="Q539" s="76"/>
    </row>
    <row r="540">
      <c r="A540" s="75"/>
      <c r="B540" s="49"/>
      <c r="C540" s="49"/>
      <c r="D540" s="49"/>
      <c r="E540" s="76"/>
      <c r="F540" s="77"/>
      <c r="I540" s="76"/>
      <c r="M540" s="76"/>
      <c r="N540" s="77"/>
      <c r="Q540" s="76"/>
    </row>
    <row r="541">
      <c r="A541" s="75"/>
      <c r="B541" s="49"/>
      <c r="C541" s="49"/>
      <c r="D541" s="49"/>
      <c r="E541" s="76"/>
      <c r="F541" s="77"/>
      <c r="I541" s="76"/>
      <c r="M541" s="76"/>
      <c r="N541" s="77"/>
      <c r="Q541" s="76"/>
    </row>
    <row r="542">
      <c r="A542" s="75"/>
      <c r="B542" s="49"/>
      <c r="C542" s="49"/>
      <c r="D542" s="49"/>
      <c r="E542" s="76"/>
      <c r="F542" s="77"/>
      <c r="I542" s="76"/>
      <c r="M542" s="76"/>
      <c r="N542" s="77"/>
      <c r="Q542" s="76"/>
    </row>
    <row r="543">
      <c r="A543" s="75"/>
      <c r="B543" s="49"/>
      <c r="C543" s="49"/>
      <c r="D543" s="49"/>
      <c r="E543" s="76"/>
      <c r="F543" s="77"/>
      <c r="I543" s="76"/>
      <c r="M543" s="76"/>
      <c r="N543" s="77"/>
      <c r="Q543" s="76"/>
    </row>
    <row r="544">
      <c r="A544" s="75"/>
      <c r="B544" s="49"/>
      <c r="C544" s="49"/>
      <c r="D544" s="49"/>
      <c r="E544" s="76"/>
      <c r="F544" s="77"/>
      <c r="I544" s="76"/>
      <c r="M544" s="76"/>
      <c r="N544" s="77"/>
      <c r="Q544" s="76"/>
    </row>
    <row r="545">
      <c r="A545" s="75"/>
      <c r="B545" s="49"/>
      <c r="C545" s="49"/>
      <c r="D545" s="49"/>
      <c r="E545" s="76"/>
      <c r="F545" s="77"/>
      <c r="I545" s="76"/>
      <c r="M545" s="76"/>
      <c r="N545" s="77"/>
      <c r="Q545" s="76"/>
    </row>
    <row r="546">
      <c r="A546" s="75"/>
      <c r="B546" s="49"/>
      <c r="C546" s="49"/>
      <c r="D546" s="49"/>
      <c r="E546" s="76"/>
      <c r="F546" s="77"/>
      <c r="I546" s="76"/>
      <c r="M546" s="76"/>
      <c r="N546" s="77"/>
      <c r="Q546" s="76"/>
    </row>
    <row r="547">
      <c r="A547" s="75"/>
      <c r="B547" s="49"/>
      <c r="C547" s="49"/>
      <c r="D547" s="49"/>
      <c r="E547" s="76"/>
      <c r="F547" s="77"/>
      <c r="I547" s="76"/>
      <c r="M547" s="76"/>
      <c r="N547" s="77"/>
      <c r="Q547" s="76"/>
    </row>
    <row r="548">
      <c r="A548" s="75"/>
      <c r="B548" s="49"/>
      <c r="C548" s="49"/>
      <c r="D548" s="49"/>
      <c r="E548" s="76"/>
      <c r="F548" s="77"/>
      <c r="I548" s="76"/>
      <c r="M548" s="76"/>
      <c r="N548" s="77"/>
      <c r="Q548" s="76"/>
    </row>
    <row r="549">
      <c r="A549" s="75"/>
      <c r="B549" s="49"/>
      <c r="C549" s="49"/>
      <c r="D549" s="49"/>
      <c r="E549" s="76"/>
      <c r="F549" s="77"/>
      <c r="I549" s="76"/>
      <c r="M549" s="76"/>
      <c r="N549" s="77"/>
      <c r="Q549" s="76"/>
    </row>
    <row r="550">
      <c r="A550" s="75"/>
      <c r="B550" s="49"/>
      <c r="C550" s="49"/>
      <c r="D550" s="49"/>
      <c r="E550" s="76"/>
      <c r="F550" s="77"/>
      <c r="I550" s="76"/>
      <c r="M550" s="76"/>
      <c r="N550" s="77"/>
      <c r="Q550" s="76"/>
    </row>
    <row r="551">
      <c r="A551" s="75"/>
      <c r="B551" s="49"/>
      <c r="C551" s="49"/>
      <c r="D551" s="49"/>
      <c r="E551" s="76"/>
      <c r="F551" s="77"/>
      <c r="I551" s="76"/>
      <c r="M551" s="76"/>
      <c r="N551" s="77"/>
      <c r="Q551" s="76"/>
    </row>
    <row r="552">
      <c r="A552" s="75"/>
      <c r="B552" s="49"/>
      <c r="C552" s="49"/>
      <c r="D552" s="49"/>
      <c r="E552" s="76"/>
      <c r="F552" s="77"/>
      <c r="I552" s="76"/>
      <c r="M552" s="76"/>
      <c r="N552" s="77"/>
      <c r="Q552" s="76"/>
    </row>
    <row r="553">
      <c r="A553" s="75"/>
      <c r="B553" s="49"/>
      <c r="C553" s="49"/>
      <c r="D553" s="49"/>
      <c r="E553" s="76"/>
      <c r="F553" s="77"/>
      <c r="I553" s="76"/>
      <c r="M553" s="76"/>
      <c r="N553" s="77"/>
      <c r="Q553" s="76"/>
    </row>
    <row r="554">
      <c r="A554" s="75"/>
      <c r="B554" s="49"/>
      <c r="C554" s="49"/>
      <c r="D554" s="49"/>
      <c r="E554" s="76"/>
      <c r="F554" s="77"/>
      <c r="I554" s="76"/>
      <c r="M554" s="76"/>
      <c r="N554" s="77"/>
      <c r="Q554" s="76"/>
    </row>
    <row r="555">
      <c r="A555" s="75"/>
      <c r="B555" s="49"/>
      <c r="C555" s="49"/>
      <c r="D555" s="49"/>
      <c r="E555" s="76"/>
      <c r="F555" s="77"/>
      <c r="I555" s="76"/>
      <c r="M555" s="76"/>
      <c r="N555" s="77"/>
      <c r="Q555" s="76"/>
    </row>
    <row r="556">
      <c r="A556" s="75"/>
      <c r="B556" s="49"/>
      <c r="C556" s="49"/>
      <c r="D556" s="49"/>
      <c r="E556" s="76"/>
      <c r="F556" s="77"/>
      <c r="I556" s="76"/>
      <c r="M556" s="76"/>
      <c r="N556" s="77"/>
      <c r="Q556" s="76"/>
    </row>
    <row r="557">
      <c r="A557" s="75"/>
      <c r="B557" s="49"/>
      <c r="C557" s="49"/>
      <c r="D557" s="49"/>
      <c r="E557" s="76"/>
      <c r="F557" s="77"/>
      <c r="I557" s="76"/>
      <c r="M557" s="76"/>
      <c r="N557" s="77"/>
      <c r="Q557" s="76"/>
    </row>
    <row r="558">
      <c r="A558" s="75"/>
      <c r="B558" s="49"/>
      <c r="C558" s="49"/>
      <c r="D558" s="49"/>
      <c r="E558" s="76"/>
      <c r="F558" s="77"/>
      <c r="I558" s="76"/>
      <c r="M558" s="76"/>
      <c r="N558" s="77"/>
      <c r="Q558" s="76"/>
    </row>
    <row r="559">
      <c r="A559" s="75"/>
      <c r="B559" s="49"/>
      <c r="C559" s="49"/>
      <c r="D559" s="49"/>
      <c r="E559" s="76"/>
      <c r="F559" s="77"/>
      <c r="I559" s="76"/>
      <c r="M559" s="76"/>
      <c r="N559" s="77"/>
      <c r="Q559" s="76"/>
    </row>
    <row r="560">
      <c r="A560" s="75"/>
      <c r="B560" s="49"/>
      <c r="C560" s="49"/>
      <c r="D560" s="49"/>
      <c r="E560" s="76"/>
      <c r="F560" s="77"/>
      <c r="I560" s="76"/>
      <c r="M560" s="76"/>
      <c r="N560" s="77"/>
      <c r="Q560" s="76"/>
    </row>
    <row r="561">
      <c r="A561" s="75"/>
      <c r="B561" s="49"/>
      <c r="C561" s="49"/>
      <c r="D561" s="49"/>
      <c r="E561" s="76"/>
      <c r="F561" s="77"/>
      <c r="I561" s="76"/>
      <c r="M561" s="76"/>
      <c r="N561" s="77"/>
      <c r="Q561" s="76"/>
    </row>
    <row r="562">
      <c r="A562" s="75"/>
      <c r="B562" s="49"/>
      <c r="C562" s="49"/>
      <c r="D562" s="49"/>
      <c r="E562" s="76"/>
      <c r="F562" s="77"/>
      <c r="I562" s="76"/>
      <c r="M562" s="76"/>
      <c r="N562" s="77"/>
      <c r="Q562" s="76"/>
    </row>
    <row r="563">
      <c r="A563" s="75"/>
      <c r="B563" s="49"/>
      <c r="C563" s="49"/>
      <c r="D563" s="49"/>
      <c r="E563" s="76"/>
      <c r="F563" s="77"/>
      <c r="I563" s="76"/>
      <c r="M563" s="76"/>
      <c r="N563" s="77"/>
      <c r="Q563" s="76"/>
    </row>
    <row r="564">
      <c r="A564" s="75"/>
      <c r="B564" s="49"/>
      <c r="C564" s="49"/>
      <c r="D564" s="49"/>
      <c r="E564" s="76"/>
      <c r="F564" s="77"/>
      <c r="I564" s="76"/>
      <c r="M564" s="76"/>
      <c r="N564" s="77"/>
      <c r="Q564" s="76"/>
    </row>
    <row r="565">
      <c r="A565" s="75"/>
      <c r="B565" s="49"/>
      <c r="C565" s="49"/>
      <c r="D565" s="49"/>
      <c r="E565" s="76"/>
      <c r="F565" s="77"/>
      <c r="I565" s="76"/>
      <c r="M565" s="76"/>
      <c r="N565" s="77"/>
      <c r="Q565" s="76"/>
    </row>
    <row r="566">
      <c r="A566" s="75"/>
      <c r="B566" s="49"/>
      <c r="C566" s="49"/>
      <c r="D566" s="49"/>
      <c r="E566" s="76"/>
      <c r="F566" s="77"/>
      <c r="I566" s="76"/>
      <c r="M566" s="76"/>
      <c r="N566" s="77"/>
      <c r="Q566" s="76"/>
    </row>
    <row r="567">
      <c r="A567" s="75"/>
      <c r="B567" s="49"/>
      <c r="C567" s="49"/>
      <c r="D567" s="49"/>
      <c r="E567" s="76"/>
      <c r="F567" s="77"/>
      <c r="I567" s="76"/>
      <c r="M567" s="76"/>
      <c r="N567" s="77"/>
      <c r="Q567" s="76"/>
    </row>
    <row r="568">
      <c r="A568" s="75"/>
      <c r="B568" s="49"/>
      <c r="C568" s="49"/>
      <c r="D568" s="49"/>
      <c r="E568" s="76"/>
      <c r="F568" s="77"/>
      <c r="I568" s="76"/>
      <c r="M568" s="76"/>
      <c r="N568" s="77"/>
      <c r="Q568" s="76"/>
    </row>
    <row r="569">
      <c r="A569" s="75"/>
      <c r="B569" s="49"/>
      <c r="C569" s="49"/>
      <c r="D569" s="49"/>
      <c r="E569" s="76"/>
      <c r="F569" s="77"/>
      <c r="I569" s="76"/>
      <c r="M569" s="76"/>
      <c r="N569" s="77"/>
      <c r="Q569" s="76"/>
    </row>
    <row r="570">
      <c r="A570" s="75"/>
      <c r="B570" s="49"/>
      <c r="C570" s="49"/>
      <c r="D570" s="49"/>
      <c r="E570" s="76"/>
      <c r="F570" s="77"/>
      <c r="I570" s="76"/>
      <c r="M570" s="76"/>
      <c r="N570" s="77"/>
      <c r="Q570" s="76"/>
    </row>
    <row r="571">
      <c r="A571" s="75"/>
      <c r="B571" s="49"/>
      <c r="C571" s="49"/>
      <c r="D571" s="49"/>
      <c r="E571" s="76"/>
      <c r="F571" s="77"/>
      <c r="I571" s="76"/>
      <c r="M571" s="76"/>
      <c r="N571" s="77"/>
      <c r="Q571" s="76"/>
    </row>
    <row r="572">
      <c r="A572" s="75"/>
      <c r="B572" s="49"/>
      <c r="C572" s="49"/>
      <c r="D572" s="49"/>
      <c r="E572" s="76"/>
      <c r="F572" s="77"/>
      <c r="I572" s="76"/>
      <c r="M572" s="76"/>
      <c r="N572" s="77"/>
      <c r="Q572" s="76"/>
    </row>
    <row r="573">
      <c r="A573" s="75"/>
      <c r="B573" s="49"/>
      <c r="C573" s="49"/>
      <c r="D573" s="49"/>
      <c r="E573" s="76"/>
      <c r="F573" s="77"/>
      <c r="I573" s="76"/>
      <c r="M573" s="76"/>
      <c r="N573" s="77"/>
      <c r="Q573" s="76"/>
    </row>
    <row r="574">
      <c r="A574" s="75"/>
      <c r="B574" s="49"/>
      <c r="C574" s="49"/>
      <c r="D574" s="49"/>
      <c r="E574" s="76"/>
      <c r="F574" s="77"/>
      <c r="I574" s="76"/>
      <c r="M574" s="76"/>
      <c r="N574" s="77"/>
      <c r="Q574" s="76"/>
    </row>
    <row r="575">
      <c r="A575" s="75"/>
      <c r="B575" s="49"/>
      <c r="C575" s="49"/>
      <c r="D575" s="49"/>
      <c r="E575" s="76"/>
      <c r="F575" s="77"/>
      <c r="I575" s="76"/>
      <c r="M575" s="76"/>
      <c r="N575" s="77"/>
      <c r="Q575" s="76"/>
    </row>
    <row r="576">
      <c r="A576" s="75"/>
      <c r="B576" s="49"/>
      <c r="C576" s="49"/>
      <c r="D576" s="49"/>
      <c r="E576" s="76"/>
      <c r="F576" s="77"/>
      <c r="I576" s="76"/>
      <c r="M576" s="76"/>
      <c r="N576" s="77"/>
      <c r="Q576" s="76"/>
    </row>
    <row r="577">
      <c r="A577" s="75"/>
      <c r="B577" s="49"/>
      <c r="C577" s="49"/>
      <c r="D577" s="49"/>
      <c r="E577" s="76"/>
      <c r="F577" s="77"/>
      <c r="I577" s="76"/>
      <c r="M577" s="76"/>
      <c r="N577" s="77"/>
      <c r="Q577" s="76"/>
    </row>
    <row r="578">
      <c r="A578" s="75"/>
      <c r="B578" s="49"/>
      <c r="C578" s="49"/>
      <c r="D578" s="49"/>
      <c r="E578" s="76"/>
      <c r="F578" s="77"/>
      <c r="I578" s="76"/>
      <c r="M578" s="76"/>
      <c r="N578" s="77"/>
      <c r="Q578" s="76"/>
    </row>
    <row r="579">
      <c r="A579" s="75"/>
      <c r="B579" s="49"/>
      <c r="C579" s="49"/>
      <c r="D579" s="49"/>
      <c r="E579" s="76"/>
      <c r="F579" s="77"/>
      <c r="I579" s="76"/>
      <c r="M579" s="76"/>
      <c r="N579" s="77"/>
      <c r="Q579" s="76"/>
    </row>
    <row r="580">
      <c r="A580" s="75"/>
      <c r="B580" s="49"/>
      <c r="C580" s="49"/>
      <c r="D580" s="49"/>
      <c r="E580" s="76"/>
      <c r="F580" s="77"/>
      <c r="I580" s="76"/>
      <c r="M580" s="76"/>
      <c r="N580" s="77"/>
      <c r="Q580" s="76"/>
    </row>
    <row r="581">
      <c r="A581" s="75"/>
      <c r="B581" s="49"/>
      <c r="C581" s="49"/>
      <c r="D581" s="49"/>
      <c r="E581" s="76"/>
      <c r="F581" s="77"/>
      <c r="I581" s="76"/>
      <c r="M581" s="76"/>
      <c r="N581" s="77"/>
      <c r="Q581" s="76"/>
    </row>
    <row r="582">
      <c r="A582" s="75"/>
      <c r="B582" s="49"/>
      <c r="C582" s="49"/>
      <c r="D582" s="49"/>
      <c r="E582" s="76"/>
      <c r="F582" s="77"/>
      <c r="I582" s="76"/>
      <c r="M582" s="76"/>
      <c r="N582" s="77"/>
      <c r="Q582" s="76"/>
    </row>
    <row r="583">
      <c r="A583" s="75"/>
      <c r="B583" s="49"/>
      <c r="C583" s="49"/>
      <c r="D583" s="49"/>
      <c r="E583" s="76"/>
      <c r="F583" s="77"/>
      <c r="I583" s="76"/>
      <c r="M583" s="76"/>
      <c r="N583" s="77"/>
      <c r="Q583" s="76"/>
    </row>
    <row r="584">
      <c r="A584" s="75"/>
      <c r="B584" s="49"/>
      <c r="C584" s="49"/>
      <c r="D584" s="49"/>
      <c r="E584" s="76"/>
      <c r="F584" s="77"/>
      <c r="I584" s="76"/>
      <c r="M584" s="76"/>
      <c r="N584" s="77"/>
      <c r="Q584" s="76"/>
    </row>
    <row r="585">
      <c r="A585" s="75"/>
      <c r="B585" s="49"/>
      <c r="C585" s="49"/>
      <c r="D585" s="49"/>
      <c r="E585" s="76"/>
      <c r="F585" s="77"/>
      <c r="I585" s="76"/>
      <c r="M585" s="76"/>
      <c r="N585" s="77"/>
      <c r="Q585" s="76"/>
    </row>
    <row r="586">
      <c r="A586" s="75"/>
      <c r="B586" s="49"/>
      <c r="C586" s="49"/>
      <c r="D586" s="49"/>
      <c r="E586" s="76"/>
      <c r="F586" s="77"/>
      <c r="I586" s="76"/>
      <c r="M586" s="76"/>
      <c r="N586" s="77"/>
      <c r="Q586" s="76"/>
    </row>
    <row r="587">
      <c r="A587" s="75"/>
      <c r="B587" s="49"/>
      <c r="C587" s="49"/>
      <c r="D587" s="49"/>
      <c r="E587" s="76"/>
      <c r="F587" s="77"/>
      <c r="I587" s="76"/>
      <c r="M587" s="76"/>
      <c r="N587" s="77"/>
      <c r="Q587" s="76"/>
    </row>
    <row r="588">
      <c r="A588" s="75"/>
      <c r="B588" s="49"/>
      <c r="C588" s="49"/>
      <c r="D588" s="49"/>
      <c r="E588" s="76"/>
      <c r="F588" s="77"/>
      <c r="I588" s="76"/>
      <c r="M588" s="76"/>
      <c r="N588" s="77"/>
      <c r="Q588" s="76"/>
    </row>
    <row r="589">
      <c r="A589" s="75"/>
      <c r="B589" s="49"/>
      <c r="C589" s="49"/>
      <c r="D589" s="49"/>
      <c r="E589" s="76"/>
      <c r="F589" s="77"/>
      <c r="I589" s="76"/>
      <c r="M589" s="76"/>
      <c r="N589" s="77"/>
      <c r="Q589" s="76"/>
    </row>
    <row r="590">
      <c r="A590" s="75"/>
      <c r="B590" s="49"/>
      <c r="C590" s="49"/>
      <c r="D590" s="49"/>
      <c r="E590" s="76"/>
      <c r="F590" s="77"/>
      <c r="I590" s="76"/>
      <c r="M590" s="76"/>
      <c r="N590" s="77"/>
      <c r="Q590" s="76"/>
    </row>
    <row r="591">
      <c r="A591" s="75"/>
      <c r="B591" s="49"/>
      <c r="C591" s="49"/>
      <c r="D591" s="49"/>
      <c r="E591" s="76"/>
      <c r="F591" s="77"/>
      <c r="I591" s="76"/>
      <c r="M591" s="76"/>
      <c r="N591" s="77"/>
      <c r="Q591" s="76"/>
    </row>
    <row r="592">
      <c r="A592" s="75"/>
      <c r="B592" s="49"/>
      <c r="C592" s="49"/>
      <c r="D592" s="49"/>
      <c r="E592" s="76"/>
      <c r="F592" s="77"/>
      <c r="I592" s="76"/>
      <c r="M592" s="76"/>
      <c r="N592" s="77"/>
      <c r="Q592" s="76"/>
    </row>
    <row r="593">
      <c r="A593" s="75"/>
      <c r="B593" s="49"/>
      <c r="C593" s="49"/>
      <c r="D593" s="49"/>
      <c r="E593" s="76"/>
      <c r="F593" s="77"/>
      <c r="I593" s="76"/>
      <c r="M593" s="76"/>
      <c r="N593" s="77"/>
      <c r="Q593" s="76"/>
    </row>
    <row r="594">
      <c r="A594" s="75"/>
      <c r="B594" s="49"/>
      <c r="C594" s="49"/>
      <c r="D594" s="49"/>
      <c r="E594" s="76"/>
      <c r="F594" s="77"/>
      <c r="I594" s="76"/>
      <c r="M594" s="76"/>
      <c r="N594" s="77"/>
      <c r="Q594" s="76"/>
    </row>
    <row r="595">
      <c r="A595" s="75"/>
      <c r="B595" s="49"/>
      <c r="C595" s="49"/>
      <c r="D595" s="49"/>
      <c r="E595" s="76"/>
      <c r="F595" s="77"/>
      <c r="I595" s="76"/>
      <c r="M595" s="76"/>
      <c r="N595" s="77"/>
      <c r="Q595" s="76"/>
    </row>
    <row r="596">
      <c r="A596" s="75"/>
      <c r="B596" s="49"/>
      <c r="C596" s="49"/>
      <c r="D596" s="49"/>
      <c r="E596" s="76"/>
      <c r="F596" s="77"/>
      <c r="I596" s="76"/>
      <c r="M596" s="76"/>
      <c r="N596" s="77"/>
      <c r="Q596" s="76"/>
    </row>
    <row r="597">
      <c r="A597" s="75"/>
      <c r="B597" s="49"/>
      <c r="C597" s="49"/>
      <c r="D597" s="49"/>
      <c r="E597" s="76"/>
      <c r="F597" s="77"/>
      <c r="I597" s="76"/>
      <c r="M597" s="76"/>
      <c r="N597" s="77"/>
      <c r="Q597" s="76"/>
    </row>
    <row r="598">
      <c r="A598" s="75"/>
      <c r="B598" s="49"/>
      <c r="C598" s="49"/>
      <c r="D598" s="49"/>
      <c r="E598" s="76"/>
      <c r="F598" s="77"/>
      <c r="I598" s="76"/>
      <c r="M598" s="76"/>
      <c r="N598" s="77"/>
      <c r="Q598" s="76"/>
    </row>
    <row r="599">
      <c r="A599" s="75"/>
      <c r="B599" s="49"/>
      <c r="C599" s="49"/>
      <c r="D599" s="49"/>
      <c r="E599" s="76"/>
      <c r="F599" s="77"/>
      <c r="I599" s="76"/>
      <c r="M599" s="76"/>
      <c r="N599" s="77"/>
      <c r="Q599" s="76"/>
    </row>
    <row r="600">
      <c r="A600" s="75"/>
      <c r="B600" s="49"/>
      <c r="C600" s="49"/>
      <c r="D600" s="49"/>
      <c r="E600" s="76"/>
      <c r="F600" s="77"/>
      <c r="I600" s="76"/>
      <c r="M600" s="76"/>
      <c r="N600" s="77"/>
      <c r="Q600" s="76"/>
    </row>
    <row r="601">
      <c r="A601" s="75"/>
      <c r="B601" s="49"/>
      <c r="C601" s="49"/>
      <c r="D601" s="49"/>
      <c r="E601" s="76"/>
      <c r="F601" s="77"/>
      <c r="I601" s="76"/>
      <c r="M601" s="76"/>
      <c r="N601" s="77"/>
      <c r="Q601" s="76"/>
    </row>
    <row r="602">
      <c r="A602" s="75"/>
      <c r="B602" s="49"/>
      <c r="C602" s="49"/>
      <c r="D602" s="49"/>
      <c r="E602" s="76"/>
      <c r="F602" s="77"/>
      <c r="I602" s="76"/>
      <c r="M602" s="76"/>
      <c r="N602" s="77"/>
      <c r="Q602" s="76"/>
    </row>
    <row r="603">
      <c r="A603" s="75"/>
      <c r="B603" s="49"/>
      <c r="C603" s="49"/>
      <c r="D603" s="49"/>
      <c r="E603" s="76"/>
      <c r="F603" s="77"/>
      <c r="I603" s="76"/>
      <c r="M603" s="76"/>
      <c r="N603" s="77"/>
      <c r="Q603" s="76"/>
    </row>
    <row r="604">
      <c r="A604" s="75"/>
      <c r="B604" s="49"/>
      <c r="C604" s="49"/>
      <c r="D604" s="49"/>
      <c r="E604" s="76"/>
      <c r="F604" s="77"/>
      <c r="I604" s="76"/>
      <c r="M604" s="76"/>
      <c r="N604" s="77"/>
      <c r="Q604" s="76"/>
    </row>
    <row r="605">
      <c r="A605" s="75"/>
      <c r="B605" s="49"/>
      <c r="C605" s="49"/>
      <c r="D605" s="49"/>
      <c r="E605" s="76"/>
      <c r="F605" s="77"/>
      <c r="I605" s="76"/>
      <c r="M605" s="76"/>
      <c r="N605" s="77"/>
      <c r="Q605" s="76"/>
    </row>
    <row r="606">
      <c r="A606" s="75"/>
      <c r="B606" s="49"/>
      <c r="C606" s="49"/>
      <c r="D606" s="49"/>
      <c r="E606" s="76"/>
      <c r="F606" s="77"/>
      <c r="I606" s="76"/>
      <c r="M606" s="76"/>
      <c r="N606" s="77"/>
      <c r="Q606" s="76"/>
    </row>
    <row r="607">
      <c r="A607" s="75"/>
      <c r="B607" s="49"/>
      <c r="C607" s="49"/>
      <c r="D607" s="49"/>
      <c r="E607" s="76"/>
      <c r="F607" s="77"/>
      <c r="I607" s="76"/>
      <c r="M607" s="76"/>
      <c r="N607" s="77"/>
      <c r="Q607" s="76"/>
    </row>
    <row r="608">
      <c r="A608" s="75"/>
      <c r="B608" s="49"/>
      <c r="C608" s="49"/>
      <c r="D608" s="49"/>
      <c r="E608" s="76"/>
      <c r="F608" s="77"/>
      <c r="I608" s="76"/>
      <c r="M608" s="76"/>
      <c r="N608" s="77"/>
      <c r="Q608" s="76"/>
    </row>
    <row r="609">
      <c r="A609" s="75"/>
      <c r="B609" s="49"/>
      <c r="C609" s="49"/>
      <c r="D609" s="49"/>
      <c r="E609" s="76"/>
      <c r="F609" s="77"/>
      <c r="I609" s="76"/>
      <c r="M609" s="76"/>
      <c r="N609" s="77"/>
      <c r="Q609" s="76"/>
    </row>
    <row r="610">
      <c r="A610" s="75"/>
      <c r="B610" s="49"/>
      <c r="C610" s="49"/>
      <c r="D610" s="49"/>
      <c r="E610" s="76"/>
      <c r="F610" s="77"/>
      <c r="I610" s="76"/>
      <c r="M610" s="76"/>
      <c r="N610" s="77"/>
      <c r="Q610" s="76"/>
    </row>
    <row r="611">
      <c r="A611" s="75"/>
      <c r="B611" s="49"/>
      <c r="C611" s="49"/>
      <c r="D611" s="49"/>
      <c r="E611" s="76"/>
      <c r="F611" s="77"/>
      <c r="I611" s="76"/>
      <c r="M611" s="76"/>
      <c r="N611" s="77"/>
      <c r="Q611" s="76"/>
    </row>
    <row r="612">
      <c r="A612" s="75"/>
      <c r="B612" s="49"/>
      <c r="C612" s="49"/>
      <c r="D612" s="49"/>
      <c r="E612" s="76"/>
      <c r="F612" s="77"/>
      <c r="I612" s="76"/>
      <c r="M612" s="76"/>
      <c r="N612" s="77"/>
      <c r="Q612" s="76"/>
    </row>
    <row r="613">
      <c r="A613" s="75"/>
      <c r="B613" s="49"/>
      <c r="C613" s="49"/>
      <c r="D613" s="49"/>
      <c r="E613" s="76"/>
      <c r="F613" s="77"/>
      <c r="I613" s="76"/>
      <c r="M613" s="76"/>
      <c r="N613" s="77"/>
      <c r="Q613" s="76"/>
    </row>
    <row r="614">
      <c r="A614" s="75"/>
      <c r="B614" s="49"/>
      <c r="C614" s="49"/>
      <c r="D614" s="49"/>
      <c r="E614" s="76"/>
      <c r="F614" s="77"/>
      <c r="I614" s="76"/>
      <c r="M614" s="76"/>
      <c r="N614" s="77"/>
      <c r="Q614" s="76"/>
    </row>
    <row r="615">
      <c r="A615" s="75"/>
      <c r="B615" s="49"/>
      <c r="C615" s="49"/>
      <c r="D615" s="49"/>
      <c r="E615" s="76"/>
      <c r="F615" s="77"/>
      <c r="I615" s="76"/>
      <c r="M615" s="76"/>
      <c r="N615" s="77"/>
      <c r="Q615" s="76"/>
    </row>
    <row r="616">
      <c r="A616" s="75"/>
      <c r="B616" s="49"/>
      <c r="C616" s="49"/>
      <c r="D616" s="49"/>
      <c r="E616" s="76"/>
      <c r="F616" s="77"/>
      <c r="I616" s="76"/>
      <c r="M616" s="76"/>
      <c r="N616" s="77"/>
      <c r="Q616" s="76"/>
    </row>
    <row r="617">
      <c r="A617" s="75"/>
      <c r="B617" s="49"/>
      <c r="C617" s="49"/>
      <c r="D617" s="49"/>
      <c r="E617" s="76"/>
      <c r="F617" s="77"/>
      <c r="I617" s="76"/>
      <c r="M617" s="76"/>
      <c r="N617" s="77"/>
      <c r="Q617" s="76"/>
    </row>
    <row r="618">
      <c r="A618" s="75"/>
      <c r="B618" s="49"/>
      <c r="C618" s="49"/>
      <c r="D618" s="49"/>
      <c r="E618" s="76"/>
      <c r="F618" s="77"/>
      <c r="I618" s="76"/>
      <c r="M618" s="76"/>
      <c r="N618" s="77"/>
      <c r="Q618" s="76"/>
    </row>
    <row r="619">
      <c r="A619" s="75"/>
      <c r="B619" s="49"/>
      <c r="C619" s="49"/>
      <c r="D619" s="49"/>
      <c r="E619" s="76"/>
      <c r="F619" s="77"/>
      <c r="I619" s="76"/>
      <c r="M619" s="76"/>
      <c r="N619" s="77"/>
      <c r="Q619" s="76"/>
    </row>
    <row r="620">
      <c r="A620" s="75"/>
      <c r="B620" s="49"/>
      <c r="C620" s="49"/>
      <c r="D620" s="49"/>
      <c r="E620" s="76"/>
      <c r="F620" s="77"/>
      <c r="I620" s="76"/>
      <c r="M620" s="76"/>
      <c r="N620" s="77"/>
      <c r="Q620" s="76"/>
    </row>
    <row r="621">
      <c r="A621" s="75"/>
      <c r="B621" s="49"/>
      <c r="C621" s="49"/>
      <c r="D621" s="49"/>
      <c r="E621" s="76"/>
      <c r="F621" s="77"/>
      <c r="I621" s="76"/>
      <c r="M621" s="76"/>
      <c r="N621" s="77"/>
      <c r="Q621" s="76"/>
    </row>
    <row r="622">
      <c r="A622" s="75"/>
      <c r="B622" s="49"/>
      <c r="C622" s="49"/>
      <c r="D622" s="49"/>
      <c r="E622" s="76"/>
      <c r="F622" s="77"/>
      <c r="I622" s="76"/>
      <c r="M622" s="76"/>
      <c r="N622" s="77"/>
      <c r="Q622" s="76"/>
    </row>
    <row r="623">
      <c r="A623" s="75"/>
      <c r="B623" s="49"/>
      <c r="C623" s="49"/>
      <c r="D623" s="49"/>
      <c r="E623" s="76"/>
      <c r="F623" s="77"/>
      <c r="I623" s="76"/>
      <c r="M623" s="76"/>
      <c r="N623" s="77"/>
      <c r="Q623" s="76"/>
    </row>
    <row r="624">
      <c r="A624" s="75"/>
      <c r="B624" s="49"/>
      <c r="C624" s="49"/>
      <c r="D624" s="49"/>
      <c r="E624" s="76"/>
      <c r="F624" s="77"/>
      <c r="I624" s="76"/>
      <c r="M624" s="76"/>
      <c r="N624" s="77"/>
      <c r="Q624" s="76"/>
    </row>
    <row r="625">
      <c r="A625" s="75"/>
      <c r="B625" s="49"/>
      <c r="C625" s="49"/>
      <c r="D625" s="49"/>
      <c r="E625" s="76"/>
      <c r="F625" s="77"/>
      <c r="I625" s="76"/>
      <c r="M625" s="76"/>
      <c r="N625" s="77"/>
      <c r="Q625" s="76"/>
    </row>
    <row r="626">
      <c r="A626" s="75"/>
      <c r="B626" s="49"/>
      <c r="C626" s="49"/>
      <c r="D626" s="49"/>
      <c r="E626" s="76"/>
      <c r="F626" s="77"/>
      <c r="I626" s="76"/>
      <c r="M626" s="76"/>
      <c r="N626" s="77"/>
      <c r="Q626" s="76"/>
    </row>
    <row r="627">
      <c r="A627" s="75"/>
      <c r="B627" s="49"/>
      <c r="C627" s="49"/>
      <c r="D627" s="49"/>
      <c r="E627" s="76"/>
      <c r="F627" s="77"/>
      <c r="I627" s="76"/>
      <c r="M627" s="76"/>
      <c r="N627" s="77"/>
      <c r="Q627" s="76"/>
    </row>
    <row r="628">
      <c r="A628" s="75"/>
      <c r="B628" s="49"/>
      <c r="C628" s="49"/>
      <c r="D628" s="49"/>
      <c r="E628" s="76"/>
      <c r="F628" s="77"/>
      <c r="I628" s="76"/>
      <c r="M628" s="76"/>
      <c r="N628" s="77"/>
      <c r="Q628" s="76"/>
    </row>
    <row r="629">
      <c r="A629" s="75"/>
      <c r="B629" s="49"/>
      <c r="C629" s="49"/>
      <c r="D629" s="49"/>
      <c r="E629" s="76"/>
      <c r="F629" s="77"/>
      <c r="I629" s="76"/>
      <c r="M629" s="76"/>
      <c r="N629" s="77"/>
      <c r="Q629" s="76"/>
    </row>
    <row r="630">
      <c r="A630" s="75"/>
      <c r="B630" s="49"/>
      <c r="C630" s="49"/>
      <c r="D630" s="49"/>
      <c r="E630" s="76"/>
      <c r="F630" s="77"/>
      <c r="I630" s="76"/>
      <c r="M630" s="76"/>
      <c r="N630" s="77"/>
      <c r="Q630" s="76"/>
    </row>
    <row r="631">
      <c r="A631" s="75"/>
      <c r="B631" s="49"/>
      <c r="C631" s="49"/>
      <c r="D631" s="49"/>
      <c r="E631" s="76"/>
      <c r="F631" s="77"/>
      <c r="I631" s="76"/>
      <c r="M631" s="76"/>
      <c r="N631" s="77"/>
      <c r="Q631" s="76"/>
    </row>
    <row r="632">
      <c r="A632" s="75"/>
      <c r="B632" s="49"/>
      <c r="C632" s="49"/>
      <c r="D632" s="49"/>
      <c r="E632" s="76"/>
      <c r="F632" s="77"/>
      <c r="I632" s="76"/>
      <c r="M632" s="76"/>
      <c r="N632" s="77"/>
      <c r="Q632" s="76"/>
    </row>
    <row r="633">
      <c r="A633" s="75"/>
      <c r="B633" s="49"/>
      <c r="C633" s="49"/>
      <c r="D633" s="49"/>
      <c r="E633" s="76"/>
      <c r="F633" s="77"/>
      <c r="I633" s="76"/>
      <c r="M633" s="76"/>
      <c r="N633" s="77"/>
      <c r="Q633" s="76"/>
    </row>
    <row r="634">
      <c r="A634" s="75"/>
      <c r="B634" s="49"/>
      <c r="C634" s="49"/>
      <c r="D634" s="49"/>
      <c r="E634" s="76"/>
      <c r="F634" s="77"/>
      <c r="I634" s="76"/>
      <c r="M634" s="76"/>
      <c r="N634" s="77"/>
      <c r="Q634" s="76"/>
    </row>
    <row r="635">
      <c r="A635" s="75"/>
      <c r="B635" s="49"/>
      <c r="C635" s="49"/>
      <c r="D635" s="49"/>
      <c r="E635" s="76"/>
      <c r="F635" s="77"/>
      <c r="I635" s="76"/>
      <c r="M635" s="76"/>
      <c r="N635" s="77"/>
      <c r="Q635" s="76"/>
    </row>
    <row r="636">
      <c r="A636" s="75"/>
      <c r="B636" s="49"/>
      <c r="C636" s="49"/>
      <c r="D636" s="49"/>
      <c r="E636" s="76"/>
      <c r="F636" s="77"/>
      <c r="I636" s="76"/>
      <c r="M636" s="76"/>
      <c r="N636" s="77"/>
      <c r="Q636" s="76"/>
    </row>
    <row r="637">
      <c r="A637" s="75"/>
      <c r="B637" s="49"/>
      <c r="C637" s="49"/>
      <c r="D637" s="49"/>
      <c r="E637" s="76"/>
      <c r="F637" s="77"/>
      <c r="I637" s="76"/>
      <c r="M637" s="76"/>
      <c r="N637" s="77"/>
      <c r="Q637" s="76"/>
    </row>
    <row r="638">
      <c r="A638" s="75"/>
      <c r="B638" s="49"/>
      <c r="C638" s="49"/>
      <c r="D638" s="49"/>
      <c r="E638" s="76"/>
      <c r="F638" s="77"/>
      <c r="I638" s="76"/>
      <c r="M638" s="76"/>
      <c r="N638" s="77"/>
      <c r="Q638" s="76"/>
    </row>
    <row r="639">
      <c r="A639" s="75"/>
      <c r="B639" s="49"/>
      <c r="C639" s="49"/>
      <c r="D639" s="49"/>
      <c r="E639" s="76"/>
      <c r="F639" s="77"/>
      <c r="I639" s="76"/>
      <c r="M639" s="76"/>
      <c r="N639" s="77"/>
      <c r="Q639" s="76"/>
    </row>
    <row r="640">
      <c r="A640" s="75"/>
      <c r="B640" s="49"/>
      <c r="C640" s="49"/>
      <c r="D640" s="49"/>
      <c r="E640" s="76"/>
      <c r="F640" s="77"/>
      <c r="I640" s="76"/>
      <c r="M640" s="76"/>
      <c r="N640" s="77"/>
      <c r="Q640" s="76"/>
    </row>
    <row r="641">
      <c r="A641" s="75"/>
      <c r="B641" s="49"/>
      <c r="C641" s="49"/>
      <c r="D641" s="49"/>
      <c r="E641" s="76"/>
      <c r="F641" s="77"/>
      <c r="I641" s="76"/>
      <c r="M641" s="76"/>
      <c r="N641" s="77"/>
      <c r="Q641" s="76"/>
    </row>
    <row r="642">
      <c r="A642" s="75"/>
      <c r="B642" s="49"/>
      <c r="C642" s="49"/>
      <c r="D642" s="49"/>
      <c r="E642" s="76"/>
      <c r="F642" s="77"/>
      <c r="I642" s="76"/>
      <c r="M642" s="76"/>
      <c r="N642" s="77"/>
      <c r="Q642" s="76"/>
    </row>
    <row r="643">
      <c r="A643" s="75"/>
      <c r="B643" s="49"/>
      <c r="C643" s="49"/>
      <c r="D643" s="49"/>
      <c r="E643" s="76"/>
      <c r="F643" s="77"/>
      <c r="I643" s="76"/>
      <c r="M643" s="76"/>
      <c r="N643" s="77"/>
      <c r="Q643" s="76"/>
    </row>
    <row r="644">
      <c r="A644" s="75"/>
      <c r="B644" s="49"/>
      <c r="C644" s="49"/>
      <c r="D644" s="49"/>
      <c r="E644" s="76"/>
      <c r="F644" s="77"/>
      <c r="I644" s="76"/>
      <c r="M644" s="76"/>
      <c r="N644" s="77"/>
      <c r="Q644" s="76"/>
    </row>
    <row r="645">
      <c r="A645" s="75"/>
      <c r="B645" s="49"/>
      <c r="C645" s="49"/>
      <c r="D645" s="49"/>
      <c r="E645" s="76"/>
      <c r="F645" s="77"/>
      <c r="I645" s="76"/>
      <c r="M645" s="76"/>
      <c r="N645" s="77"/>
      <c r="Q645" s="76"/>
    </row>
    <row r="646">
      <c r="A646" s="75"/>
      <c r="B646" s="49"/>
      <c r="C646" s="49"/>
      <c r="D646" s="49"/>
      <c r="E646" s="76"/>
      <c r="F646" s="77"/>
      <c r="I646" s="76"/>
      <c r="M646" s="76"/>
      <c r="N646" s="77"/>
      <c r="Q646" s="76"/>
    </row>
    <row r="647">
      <c r="A647" s="75"/>
      <c r="B647" s="49"/>
      <c r="C647" s="49"/>
      <c r="D647" s="49"/>
      <c r="E647" s="76"/>
      <c r="F647" s="77"/>
      <c r="I647" s="76"/>
      <c r="M647" s="76"/>
      <c r="N647" s="77"/>
      <c r="Q647" s="76"/>
    </row>
    <row r="648">
      <c r="A648" s="75"/>
      <c r="B648" s="49"/>
      <c r="C648" s="49"/>
      <c r="D648" s="49"/>
      <c r="E648" s="76"/>
      <c r="F648" s="77"/>
      <c r="I648" s="76"/>
      <c r="M648" s="76"/>
      <c r="N648" s="77"/>
      <c r="Q648" s="76"/>
    </row>
    <row r="649">
      <c r="A649" s="75"/>
      <c r="B649" s="49"/>
      <c r="C649" s="49"/>
      <c r="D649" s="49"/>
      <c r="E649" s="76"/>
      <c r="F649" s="77"/>
      <c r="I649" s="76"/>
      <c r="M649" s="76"/>
      <c r="N649" s="77"/>
      <c r="Q649" s="76"/>
    </row>
    <row r="650">
      <c r="A650" s="75"/>
      <c r="B650" s="49"/>
      <c r="C650" s="49"/>
      <c r="D650" s="49"/>
      <c r="E650" s="76"/>
      <c r="F650" s="77"/>
      <c r="I650" s="76"/>
      <c r="M650" s="76"/>
      <c r="N650" s="77"/>
      <c r="Q650" s="76"/>
    </row>
    <row r="651">
      <c r="A651" s="75"/>
      <c r="B651" s="49"/>
      <c r="C651" s="49"/>
      <c r="D651" s="49"/>
      <c r="E651" s="76"/>
      <c r="F651" s="77"/>
      <c r="I651" s="76"/>
      <c r="M651" s="76"/>
      <c r="N651" s="77"/>
      <c r="Q651" s="76"/>
    </row>
    <row r="652">
      <c r="A652" s="75"/>
      <c r="B652" s="49"/>
      <c r="C652" s="49"/>
      <c r="D652" s="49"/>
      <c r="E652" s="76"/>
      <c r="F652" s="77"/>
      <c r="I652" s="76"/>
      <c r="M652" s="76"/>
      <c r="N652" s="77"/>
      <c r="Q652" s="76"/>
    </row>
    <row r="653">
      <c r="A653" s="75"/>
      <c r="B653" s="49"/>
      <c r="C653" s="49"/>
      <c r="D653" s="49"/>
      <c r="E653" s="76"/>
      <c r="F653" s="77"/>
      <c r="I653" s="76"/>
      <c r="M653" s="76"/>
      <c r="N653" s="77"/>
      <c r="Q653" s="76"/>
    </row>
    <row r="654">
      <c r="A654" s="75"/>
      <c r="B654" s="49"/>
      <c r="C654" s="49"/>
      <c r="D654" s="49"/>
      <c r="E654" s="76"/>
      <c r="F654" s="77"/>
      <c r="I654" s="76"/>
      <c r="M654" s="76"/>
      <c r="N654" s="77"/>
      <c r="Q654" s="76"/>
    </row>
    <row r="655">
      <c r="A655" s="75"/>
      <c r="B655" s="49"/>
      <c r="C655" s="49"/>
      <c r="D655" s="49"/>
      <c r="E655" s="76"/>
      <c r="F655" s="77"/>
      <c r="I655" s="76"/>
      <c r="M655" s="76"/>
      <c r="N655" s="77"/>
      <c r="Q655" s="76"/>
    </row>
    <row r="656">
      <c r="A656" s="75"/>
      <c r="B656" s="49"/>
      <c r="C656" s="49"/>
      <c r="D656" s="49"/>
      <c r="E656" s="76"/>
      <c r="F656" s="77"/>
      <c r="I656" s="76"/>
      <c r="M656" s="76"/>
      <c r="N656" s="77"/>
      <c r="Q656" s="76"/>
    </row>
    <row r="657">
      <c r="A657" s="75"/>
      <c r="B657" s="49"/>
      <c r="C657" s="49"/>
      <c r="D657" s="49"/>
      <c r="E657" s="76"/>
      <c r="F657" s="77"/>
      <c r="I657" s="76"/>
      <c r="M657" s="76"/>
      <c r="N657" s="77"/>
      <c r="Q657" s="76"/>
    </row>
    <row r="658">
      <c r="A658" s="75"/>
      <c r="B658" s="49"/>
      <c r="C658" s="49"/>
      <c r="D658" s="49"/>
      <c r="E658" s="76"/>
      <c r="F658" s="77"/>
      <c r="I658" s="76"/>
      <c r="M658" s="76"/>
      <c r="N658" s="77"/>
      <c r="Q658" s="76"/>
    </row>
    <row r="659">
      <c r="A659" s="75"/>
      <c r="B659" s="49"/>
      <c r="C659" s="49"/>
      <c r="D659" s="49"/>
      <c r="E659" s="76"/>
      <c r="F659" s="77"/>
      <c r="I659" s="76"/>
      <c r="M659" s="76"/>
      <c r="N659" s="77"/>
      <c r="Q659" s="76"/>
    </row>
    <row r="660">
      <c r="A660" s="75"/>
      <c r="B660" s="49"/>
      <c r="C660" s="49"/>
      <c r="D660" s="49"/>
      <c r="E660" s="76"/>
      <c r="F660" s="77"/>
      <c r="I660" s="76"/>
      <c r="M660" s="76"/>
      <c r="N660" s="77"/>
      <c r="Q660" s="76"/>
    </row>
    <row r="661">
      <c r="A661" s="75"/>
      <c r="B661" s="49"/>
      <c r="C661" s="49"/>
      <c r="D661" s="49"/>
      <c r="E661" s="76"/>
      <c r="F661" s="77"/>
      <c r="I661" s="76"/>
      <c r="M661" s="76"/>
      <c r="N661" s="77"/>
      <c r="Q661" s="76"/>
    </row>
    <row r="662">
      <c r="A662" s="75"/>
      <c r="B662" s="49"/>
      <c r="C662" s="49"/>
      <c r="D662" s="49"/>
      <c r="E662" s="76"/>
      <c r="F662" s="77"/>
      <c r="I662" s="76"/>
      <c r="M662" s="76"/>
      <c r="N662" s="77"/>
      <c r="Q662" s="76"/>
    </row>
    <row r="663">
      <c r="A663" s="75"/>
      <c r="B663" s="49"/>
      <c r="C663" s="49"/>
      <c r="D663" s="49"/>
      <c r="E663" s="76"/>
      <c r="F663" s="77"/>
      <c r="I663" s="76"/>
      <c r="M663" s="76"/>
      <c r="N663" s="77"/>
      <c r="Q663" s="76"/>
    </row>
    <row r="664">
      <c r="A664" s="75"/>
      <c r="B664" s="49"/>
      <c r="C664" s="49"/>
      <c r="D664" s="49"/>
      <c r="E664" s="76"/>
      <c r="F664" s="77"/>
      <c r="I664" s="76"/>
      <c r="M664" s="76"/>
      <c r="N664" s="77"/>
      <c r="Q664" s="76"/>
    </row>
    <row r="665">
      <c r="A665" s="75"/>
      <c r="B665" s="49"/>
      <c r="C665" s="49"/>
      <c r="D665" s="49"/>
      <c r="E665" s="76"/>
      <c r="F665" s="77"/>
      <c r="I665" s="76"/>
      <c r="M665" s="76"/>
      <c r="N665" s="77"/>
      <c r="Q665" s="76"/>
    </row>
    <row r="666">
      <c r="A666" s="75"/>
      <c r="B666" s="49"/>
      <c r="C666" s="49"/>
      <c r="D666" s="49"/>
      <c r="E666" s="76"/>
      <c r="F666" s="77"/>
      <c r="I666" s="76"/>
      <c r="M666" s="76"/>
      <c r="N666" s="77"/>
      <c r="Q666" s="76"/>
    </row>
    <row r="667">
      <c r="A667" s="75"/>
      <c r="B667" s="49"/>
      <c r="C667" s="49"/>
      <c r="D667" s="49"/>
      <c r="E667" s="76"/>
      <c r="F667" s="77"/>
      <c r="I667" s="76"/>
      <c r="M667" s="76"/>
      <c r="N667" s="77"/>
      <c r="Q667" s="76"/>
    </row>
    <row r="668">
      <c r="A668" s="75"/>
      <c r="B668" s="49"/>
      <c r="C668" s="49"/>
      <c r="D668" s="49"/>
      <c r="E668" s="76"/>
      <c r="F668" s="77"/>
      <c r="I668" s="76"/>
      <c r="M668" s="76"/>
      <c r="N668" s="77"/>
      <c r="Q668" s="76"/>
    </row>
    <row r="669">
      <c r="A669" s="75"/>
      <c r="B669" s="49"/>
      <c r="C669" s="49"/>
      <c r="D669" s="49"/>
      <c r="E669" s="76"/>
      <c r="F669" s="77"/>
      <c r="I669" s="76"/>
      <c r="M669" s="76"/>
      <c r="N669" s="77"/>
      <c r="Q669" s="76"/>
    </row>
    <row r="670">
      <c r="A670" s="75"/>
      <c r="B670" s="49"/>
      <c r="C670" s="49"/>
      <c r="D670" s="49"/>
      <c r="E670" s="76"/>
      <c r="F670" s="77"/>
      <c r="I670" s="76"/>
      <c r="M670" s="76"/>
      <c r="N670" s="77"/>
      <c r="Q670" s="76"/>
    </row>
    <row r="671">
      <c r="A671" s="75"/>
      <c r="B671" s="49"/>
      <c r="C671" s="49"/>
      <c r="D671" s="49"/>
      <c r="E671" s="76"/>
      <c r="F671" s="77"/>
      <c r="I671" s="76"/>
      <c r="M671" s="76"/>
      <c r="N671" s="77"/>
      <c r="Q671" s="76"/>
    </row>
    <row r="672">
      <c r="A672" s="75"/>
      <c r="B672" s="49"/>
      <c r="C672" s="49"/>
      <c r="D672" s="49"/>
      <c r="E672" s="76"/>
      <c r="F672" s="77"/>
      <c r="I672" s="76"/>
      <c r="M672" s="76"/>
      <c r="N672" s="77"/>
      <c r="Q672" s="76"/>
    </row>
    <row r="673">
      <c r="A673" s="75"/>
      <c r="B673" s="49"/>
      <c r="C673" s="49"/>
      <c r="D673" s="49"/>
      <c r="E673" s="76"/>
      <c r="F673" s="77"/>
      <c r="I673" s="76"/>
      <c r="M673" s="76"/>
      <c r="N673" s="77"/>
      <c r="Q673" s="76"/>
    </row>
    <row r="674">
      <c r="A674" s="75"/>
      <c r="B674" s="49"/>
      <c r="C674" s="49"/>
      <c r="D674" s="49"/>
      <c r="E674" s="76"/>
      <c r="F674" s="77"/>
      <c r="I674" s="76"/>
      <c r="M674" s="76"/>
      <c r="N674" s="77"/>
      <c r="Q674" s="76"/>
    </row>
    <row r="675">
      <c r="A675" s="75"/>
      <c r="B675" s="49"/>
      <c r="C675" s="49"/>
      <c r="D675" s="49"/>
      <c r="E675" s="76"/>
      <c r="F675" s="77"/>
      <c r="I675" s="76"/>
      <c r="M675" s="76"/>
      <c r="N675" s="77"/>
      <c r="Q675" s="76"/>
    </row>
    <row r="676">
      <c r="A676" s="75"/>
      <c r="B676" s="49"/>
      <c r="C676" s="49"/>
      <c r="D676" s="49"/>
      <c r="E676" s="76"/>
      <c r="F676" s="77"/>
      <c r="I676" s="76"/>
      <c r="M676" s="76"/>
      <c r="N676" s="77"/>
      <c r="Q676" s="76"/>
    </row>
    <row r="677">
      <c r="A677" s="75"/>
      <c r="B677" s="49"/>
      <c r="C677" s="49"/>
      <c r="D677" s="49"/>
      <c r="E677" s="76"/>
      <c r="F677" s="77"/>
      <c r="I677" s="76"/>
      <c r="M677" s="76"/>
      <c r="N677" s="77"/>
      <c r="Q677" s="76"/>
    </row>
    <row r="678">
      <c r="A678" s="75"/>
      <c r="B678" s="49"/>
      <c r="C678" s="49"/>
      <c r="D678" s="49"/>
      <c r="E678" s="76"/>
      <c r="F678" s="77"/>
      <c r="I678" s="76"/>
      <c r="M678" s="76"/>
      <c r="N678" s="77"/>
      <c r="Q678" s="76"/>
    </row>
    <row r="679">
      <c r="A679" s="75"/>
      <c r="B679" s="49"/>
      <c r="C679" s="49"/>
      <c r="D679" s="49"/>
      <c r="E679" s="76"/>
      <c r="F679" s="77"/>
      <c r="I679" s="76"/>
      <c r="M679" s="76"/>
      <c r="N679" s="77"/>
      <c r="Q679" s="76"/>
    </row>
    <row r="680">
      <c r="A680" s="75"/>
      <c r="B680" s="49"/>
      <c r="C680" s="49"/>
      <c r="D680" s="49"/>
      <c r="E680" s="76"/>
      <c r="F680" s="77"/>
      <c r="I680" s="76"/>
      <c r="M680" s="76"/>
      <c r="N680" s="77"/>
      <c r="Q680" s="76"/>
    </row>
    <row r="681">
      <c r="A681" s="75"/>
      <c r="B681" s="49"/>
      <c r="C681" s="49"/>
      <c r="D681" s="49"/>
      <c r="E681" s="76"/>
      <c r="F681" s="77"/>
      <c r="I681" s="76"/>
      <c r="M681" s="76"/>
      <c r="N681" s="77"/>
      <c r="Q681" s="76"/>
    </row>
    <row r="682">
      <c r="A682" s="75"/>
      <c r="B682" s="49"/>
      <c r="C682" s="49"/>
      <c r="D682" s="49"/>
      <c r="E682" s="76"/>
      <c r="F682" s="77"/>
      <c r="I682" s="76"/>
      <c r="M682" s="76"/>
      <c r="N682" s="77"/>
      <c r="Q682" s="76"/>
    </row>
    <row r="683">
      <c r="A683" s="75"/>
      <c r="B683" s="49"/>
      <c r="C683" s="49"/>
      <c r="D683" s="49"/>
      <c r="E683" s="76"/>
      <c r="F683" s="77"/>
      <c r="I683" s="76"/>
      <c r="M683" s="76"/>
      <c r="N683" s="77"/>
      <c r="Q683" s="76"/>
    </row>
    <row r="684">
      <c r="A684" s="75"/>
      <c r="B684" s="49"/>
      <c r="C684" s="49"/>
      <c r="D684" s="49"/>
      <c r="E684" s="76"/>
      <c r="F684" s="77"/>
      <c r="I684" s="76"/>
      <c r="M684" s="76"/>
      <c r="N684" s="77"/>
      <c r="Q684" s="76"/>
    </row>
    <row r="685">
      <c r="A685" s="75"/>
      <c r="B685" s="49"/>
      <c r="C685" s="49"/>
      <c r="D685" s="49"/>
      <c r="E685" s="76"/>
      <c r="F685" s="77"/>
      <c r="I685" s="76"/>
      <c r="M685" s="76"/>
      <c r="N685" s="77"/>
      <c r="Q685" s="76"/>
    </row>
    <row r="686">
      <c r="A686" s="75"/>
      <c r="B686" s="49"/>
      <c r="C686" s="49"/>
      <c r="D686" s="49"/>
      <c r="E686" s="76"/>
      <c r="F686" s="77"/>
      <c r="I686" s="76"/>
      <c r="M686" s="76"/>
      <c r="N686" s="77"/>
      <c r="Q686" s="76"/>
    </row>
    <row r="687">
      <c r="A687" s="75"/>
      <c r="B687" s="49"/>
      <c r="C687" s="49"/>
      <c r="D687" s="49"/>
      <c r="E687" s="76"/>
      <c r="F687" s="77"/>
      <c r="I687" s="76"/>
      <c r="M687" s="76"/>
      <c r="N687" s="77"/>
      <c r="Q687" s="76"/>
    </row>
    <row r="688">
      <c r="A688" s="75"/>
      <c r="B688" s="49"/>
      <c r="C688" s="49"/>
      <c r="D688" s="49"/>
      <c r="E688" s="76"/>
      <c r="F688" s="77"/>
      <c r="I688" s="76"/>
      <c r="M688" s="76"/>
      <c r="N688" s="77"/>
      <c r="Q688" s="76"/>
    </row>
    <row r="689">
      <c r="A689" s="75"/>
      <c r="B689" s="49"/>
      <c r="C689" s="49"/>
      <c r="D689" s="49"/>
      <c r="E689" s="76"/>
      <c r="F689" s="77"/>
      <c r="I689" s="76"/>
      <c r="M689" s="76"/>
      <c r="N689" s="77"/>
      <c r="Q689" s="76"/>
    </row>
    <row r="690">
      <c r="A690" s="75"/>
      <c r="B690" s="49"/>
      <c r="C690" s="49"/>
      <c r="D690" s="49"/>
      <c r="E690" s="76"/>
      <c r="F690" s="77"/>
      <c r="I690" s="76"/>
      <c r="M690" s="76"/>
      <c r="N690" s="77"/>
      <c r="Q690" s="76"/>
    </row>
    <row r="691">
      <c r="A691" s="75"/>
      <c r="B691" s="49"/>
      <c r="C691" s="49"/>
      <c r="D691" s="49"/>
      <c r="E691" s="76"/>
      <c r="F691" s="77"/>
      <c r="I691" s="76"/>
      <c r="M691" s="76"/>
      <c r="N691" s="77"/>
      <c r="Q691" s="76"/>
    </row>
    <row r="692">
      <c r="A692" s="75"/>
      <c r="B692" s="49"/>
      <c r="C692" s="49"/>
      <c r="D692" s="49"/>
      <c r="E692" s="76"/>
      <c r="F692" s="77"/>
      <c r="I692" s="76"/>
      <c r="M692" s="76"/>
      <c r="N692" s="77"/>
      <c r="Q692" s="76"/>
    </row>
    <row r="693">
      <c r="A693" s="75"/>
      <c r="B693" s="49"/>
      <c r="C693" s="49"/>
      <c r="D693" s="49"/>
      <c r="E693" s="76"/>
      <c r="F693" s="77"/>
      <c r="I693" s="76"/>
      <c r="M693" s="76"/>
      <c r="N693" s="77"/>
      <c r="Q693" s="76"/>
    </row>
    <row r="694">
      <c r="A694" s="75"/>
      <c r="B694" s="49"/>
      <c r="C694" s="49"/>
      <c r="D694" s="49"/>
      <c r="E694" s="76"/>
      <c r="F694" s="77"/>
      <c r="I694" s="76"/>
      <c r="M694" s="76"/>
      <c r="N694" s="77"/>
      <c r="Q694" s="76"/>
    </row>
    <row r="695">
      <c r="A695" s="75"/>
      <c r="B695" s="49"/>
      <c r="C695" s="49"/>
      <c r="D695" s="49"/>
      <c r="E695" s="76"/>
      <c r="F695" s="77"/>
      <c r="I695" s="76"/>
      <c r="M695" s="76"/>
      <c r="N695" s="77"/>
      <c r="Q695" s="76"/>
    </row>
    <row r="696">
      <c r="A696" s="75"/>
      <c r="B696" s="49"/>
      <c r="C696" s="49"/>
      <c r="D696" s="49"/>
      <c r="E696" s="76"/>
      <c r="F696" s="77"/>
      <c r="I696" s="76"/>
      <c r="M696" s="76"/>
      <c r="N696" s="77"/>
      <c r="Q696" s="76"/>
    </row>
    <row r="697">
      <c r="A697" s="75"/>
      <c r="B697" s="49"/>
      <c r="C697" s="49"/>
      <c r="D697" s="49"/>
      <c r="E697" s="76"/>
      <c r="F697" s="77"/>
      <c r="I697" s="76"/>
      <c r="M697" s="76"/>
      <c r="N697" s="77"/>
      <c r="Q697" s="76"/>
    </row>
    <row r="698">
      <c r="A698" s="75"/>
      <c r="B698" s="49"/>
      <c r="C698" s="49"/>
      <c r="D698" s="49"/>
      <c r="E698" s="76"/>
      <c r="F698" s="77"/>
      <c r="I698" s="76"/>
      <c r="M698" s="76"/>
      <c r="N698" s="77"/>
      <c r="Q698" s="76"/>
    </row>
    <row r="699">
      <c r="A699" s="75"/>
      <c r="B699" s="49"/>
      <c r="C699" s="49"/>
      <c r="D699" s="49"/>
      <c r="E699" s="76"/>
      <c r="F699" s="77"/>
      <c r="I699" s="76"/>
      <c r="M699" s="76"/>
      <c r="N699" s="77"/>
      <c r="Q699" s="76"/>
    </row>
    <row r="700">
      <c r="A700" s="75"/>
      <c r="B700" s="49"/>
      <c r="C700" s="49"/>
      <c r="D700" s="49"/>
      <c r="E700" s="76"/>
      <c r="F700" s="77"/>
      <c r="I700" s="76"/>
      <c r="M700" s="76"/>
      <c r="N700" s="77"/>
      <c r="Q700" s="76"/>
    </row>
    <row r="701">
      <c r="A701" s="75"/>
      <c r="B701" s="49"/>
      <c r="C701" s="49"/>
      <c r="D701" s="49"/>
      <c r="E701" s="76"/>
      <c r="F701" s="77"/>
      <c r="I701" s="76"/>
      <c r="M701" s="76"/>
      <c r="N701" s="77"/>
      <c r="Q701" s="76"/>
    </row>
    <row r="702">
      <c r="A702" s="75"/>
      <c r="B702" s="49"/>
      <c r="C702" s="49"/>
      <c r="D702" s="49"/>
      <c r="E702" s="76"/>
      <c r="F702" s="77"/>
      <c r="I702" s="76"/>
      <c r="M702" s="76"/>
      <c r="N702" s="77"/>
      <c r="Q702" s="76"/>
    </row>
    <row r="703">
      <c r="A703" s="75"/>
      <c r="B703" s="49"/>
      <c r="C703" s="49"/>
      <c r="D703" s="49"/>
      <c r="E703" s="76"/>
      <c r="F703" s="77"/>
      <c r="I703" s="76"/>
      <c r="M703" s="76"/>
      <c r="N703" s="77"/>
      <c r="Q703" s="76"/>
    </row>
    <row r="704">
      <c r="A704" s="75"/>
      <c r="B704" s="49"/>
      <c r="C704" s="49"/>
      <c r="D704" s="49"/>
      <c r="E704" s="76"/>
      <c r="F704" s="77"/>
      <c r="I704" s="76"/>
      <c r="M704" s="76"/>
      <c r="N704" s="77"/>
      <c r="Q704" s="76"/>
    </row>
    <row r="705">
      <c r="A705" s="75"/>
      <c r="B705" s="49"/>
      <c r="C705" s="49"/>
      <c r="D705" s="49"/>
      <c r="E705" s="76"/>
      <c r="F705" s="77"/>
      <c r="I705" s="76"/>
      <c r="M705" s="76"/>
      <c r="N705" s="77"/>
      <c r="Q705" s="76"/>
    </row>
    <row r="706">
      <c r="A706" s="75"/>
      <c r="B706" s="49"/>
      <c r="C706" s="49"/>
      <c r="D706" s="49"/>
      <c r="E706" s="76"/>
      <c r="F706" s="77"/>
      <c r="I706" s="76"/>
      <c r="M706" s="76"/>
      <c r="N706" s="77"/>
      <c r="Q706" s="76"/>
    </row>
    <row r="707">
      <c r="A707" s="75"/>
      <c r="B707" s="49"/>
      <c r="C707" s="49"/>
      <c r="D707" s="49"/>
      <c r="E707" s="76"/>
      <c r="F707" s="77"/>
      <c r="I707" s="76"/>
      <c r="M707" s="76"/>
      <c r="N707" s="77"/>
      <c r="Q707" s="76"/>
    </row>
    <row r="708">
      <c r="A708" s="75"/>
      <c r="B708" s="49"/>
      <c r="C708" s="49"/>
      <c r="D708" s="49"/>
      <c r="E708" s="76"/>
      <c r="F708" s="77"/>
      <c r="I708" s="76"/>
      <c r="M708" s="76"/>
      <c r="N708" s="77"/>
      <c r="Q708" s="76"/>
    </row>
    <row r="709">
      <c r="A709" s="75"/>
      <c r="B709" s="49"/>
      <c r="C709" s="49"/>
      <c r="D709" s="49"/>
      <c r="E709" s="76"/>
      <c r="F709" s="77"/>
      <c r="I709" s="76"/>
      <c r="M709" s="76"/>
      <c r="N709" s="77"/>
      <c r="Q709" s="76"/>
    </row>
    <row r="710">
      <c r="A710" s="75"/>
      <c r="B710" s="49"/>
      <c r="C710" s="49"/>
      <c r="D710" s="49"/>
      <c r="E710" s="76"/>
      <c r="F710" s="77"/>
      <c r="I710" s="76"/>
      <c r="M710" s="76"/>
      <c r="N710" s="77"/>
      <c r="Q710" s="76"/>
    </row>
    <row r="711">
      <c r="A711" s="75"/>
      <c r="B711" s="49"/>
      <c r="C711" s="49"/>
      <c r="D711" s="49"/>
      <c r="E711" s="76"/>
      <c r="F711" s="77"/>
      <c r="I711" s="76"/>
      <c r="M711" s="76"/>
      <c r="N711" s="77"/>
      <c r="Q711" s="76"/>
    </row>
    <row r="712">
      <c r="A712" s="75"/>
      <c r="B712" s="49"/>
      <c r="C712" s="49"/>
      <c r="D712" s="49"/>
      <c r="E712" s="76"/>
      <c r="F712" s="77"/>
      <c r="I712" s="76"/>
      <c r="M712" s="76"/>
      <c r="N712" s="77"/>
      <c r="Q712" s="76"/>
    </row>
    <row r="713">
      <c r="A713" s="75"/>
      <c r="B713" s="49"/>
      <c r="C713" s="49"/>
      <c r="D713" s="49"/>
      <c r="E713" s="76"/>
      <c r="F713" s="77"/>
      <c r="I713" s="76"/>
      <c r="M713" s="76"/>
      <c r="N713" s="77"/>
      <c r="Q713" s="76"/>
    </row>
    <row r="714">
      <c r="A714" s="75"/>
      <c r="B714" s="49"/>
      <c r="C714" s="49"/>
      <c r="D714" s="49"/>
      <c r="E714" s="76"/>
      <c r="F714" s="77"/>
      <c r="I714" s="76"/>
      <c r="M714" s="76"/>
      <c r="N714" s="77"/>
      <c r="Q714" s="76"/>
    </row>
    <row r="715">
      <c r="A715" s="75"/>
      <c r="B715" s="49"/>
      <c r="C715" s="49"/>
      <c r="D715" s="49"/>
      <c r="E715" s="76"/>
      <c r="F715" s="77"/>
      <c r="I715" s="76"/>
      <c r="M715" s="76"/>
      <c r="N715" s="77"/>
      <c r="Q715" s="76"/>
    </row>
    <row r="716">
      <c r="A716" s="75"/>
      <c r="B716" s="49"/>
      <c r="C716" s="49"/>
      <c r="D716" s="49"/>
      <c r="E716" s="76"/>
      <c r="F716" s="77"/>
      <c r="I716" s="76"/>
      <c r="M716" s="76"/>
      <c r="N716" s="77"/>
      <c r="Q716" s="76"/>
    </row>
    <row r="717">
      <c r="A717" s="75"/>
      <c r="B717" s="49"/>
      <c r="C717" s="49"/>
      <c r="D717" s="49"/>
      <c r="E717" s="76"/>
      <c r="F717" s="77"/>
      <c r="I717" s="76"/>
      <c r="M717" s="76"/>
      <c r="N717" s="77"/>
      <c r="Q717" s="76"/>
    </row>
    <row r="718">
      <c r="A718" s="75"/>
      <c r="B718" s="49"/>
      <c r="C718" s="49"/>
      <c r="D718" s="49"/>
      <c r="E718" s="76"/>
      <c r="F718" s="77"/>
      <c r="I718" s="76"/>
      <c r="M718" s="76"/>
      <c r="N718" s="77"/>
      <c r="Q718" s="76"/>
    </row>
    <row r="719">
      <c r="A719" s="75"/>
      <c r="B719" s="49"/>
      <c r="C719" s="49"/>
      <c r="D719" s="49"/>
      <c r="E719" s="76"/>
      <c r="F719" s="77"/>
      <c r="I719" s="76"/>
      <c r="M719" s="76"/>
      <c r="N719" s="77"/>
      <c r="Q719" s="76"/>
    </row>
    <row r="720">
      <c r="A720" s="75"/>
      <c r="B720" s="49"/>
      <c r="C720" s="49"/>
      <c r="D720" s="49"/>
      <c r="E720" s="76"/>
      <c r="F720" s="77"/>
      <c r="I720" s="76"/>
      <c r="M720" s="76"/>
      <c r="N720" s="77"/>
      <c r="Q720" s="76"/>
    </row>
    <row r="721">
      <c r="A721" s="75"/>
      <c r="B721" s="49"/>
      <c r="C721" s="49"/>
      <c r="D721" s="49"/>
      <c r="E721" s="76"/>
      <c r="F721" s="77"/>
      <c r="I721" s="76"/>
      <c r="M721" s="76"/>
      <c r="N721" s="77"/>
      <c r="Q721" s="76"/>
    </row>
    <row r="722">
      <c r="A722" s="75"/>
      <c r="B722" s="49"/>
      <c r="C722" s="49"/>
      <c r="D722" s="49"/>
      <c r="E722" s="76"/>
      <c r="F722" s="77"/>
      <c r="I722" s="76"/>
      <c r="M722" s="76"/>
      <c r="N722" s="77"/>
      <c r="Q722" s="76"/>
    </row>
    <row r="723">
      <c r="A723" s="75"/>
      <c r="B723" s="49"/>
      <c r="C723" s="49"/>
      <c r="D723" s="49"/>
      <c r="E723" s="76"/>
      <c r="F723" s="77"/>
      <c r="I723" s="76"/>
      <c r="M723" s="76"/>
      <c r="N723" s="77"/>
      <c r="Q723" s="76"/>
    </row>
    <row r="724">
      <c r="A724" s="75"/>
      <c r="B724" s="49"/>
      <c r="C724" s="49"/>
      <c r="D724" s="49"/>
      <c r="E724" s="76"/>
      <c r="F724" s="77"/>
      <c r="I724" s="76"/>
      <c r="M724" s="76"/>
      <c r="N724" s="77"/>
      <c r="Q724" s="76"/>
    </row>
    <row r="725">
      <c r="A725" s="75"/>
      <c r="B725" s="49"/>
      <c r="C725" s="49"/>
      <c r="D725" s="49"/>
      <c r="E725" s="76"/>
      <c r="F725" s="77"/>
      <c r="I725" s="76"/>
      <c r="M725" s="76"/>
      <c r="N725" s="77"/>
      <c r="Q725" s="76"/>
    </row>
    <row r="726">
      <c r="A726" s="75"/>
      <c r="B726" s="49"/>
      <c r="C726" s="49"/>
      <c r="D726" s="49"/>
      <c r="E726" s="76"/>
      <c r="F726" s="77"/>
      <c r="I726" s="76"/>
      <c r="M726" s="76"/>
      <c r="N726" s="77"/>
      <c r="Q726" s="76"/>
    </row>
    <row r="727">
      <c r="A727" s="75"/>
      <c r="B727" s="49"/>
      <c r="C727" s="49"/>
      <c r="D727" s="49"/>
      <c r="E727" s="76"/>
      <c r="F727" s="77"/>
      <c r="I727" s="76"/>
      <c r="M727" s="76"/>
      <c r="N727" s="77"/>
      <c r="Q727" s="76"/>
    </row>
    <row r="728">
      <c r="A728" s="75"/>
      <c r="B728" s="49"/>
      <c r="C728" s="49"/>
      <c r="D728" s="49"/>
      <c r="E728" s="76"/>
      <c r="F728" s="77"/>
      <c r="I728" s="76"/>
      <c r="M728" s="76"/>
      <c r="N728" s="77"/>
      <c r="Q728" s="76"/>
    </row>
    <row r="729">
      <c r="A729" s="75"/>
      <c r="B729" s="49"/>
      <c r="C729" s="49"/>
      <c r="D729" s="49"/>
      <c r="E729" s="76"/>
      <c r="F729" s="77"/>
      <c r="I729" s="76"/>
      <c r="M729" s="76"/>
      <c r="N729" s="77"/>
      <c r="Q729" s="76"/>
    </row>
    <row r="730">
      <c r="A730" s="75"/>
      <c r="B730" s="49"/>
      <c r="C730" s="49"/>
      <c r="D730" s="49"/>
      <c r="E730" s="76"/>
      <c r="F730" s="77"/>
      <c r="I730" s="76"/>
      <c r="M730" s="76"/>
      <c r="N730" s="77"/>
      <c r="Q730" s="76"/>
    </row>
    <row r="731">
      <c r="A731" s="75"/>
      <c r="B731" s="49"/>
      <c r="C731" s="49"/>
      <c r="D731" s="49"/>
      <c r="E731" s="76"/>
      <c r="F731" s="77"/>
      <c r="I731" s="76"/>
      <c r="M731" s="76"/>
      <c r="N731" s="77"/>
      <c r="Q731" s="76"/>
    </row>
    <row r="732">
      <c r="A732" s="75"/>
      <c r="B732" s="49"/>
      <c r="C732" s="49"/>
      <c r="D732" s="49"/>
      <c r="E732" s="76"/>
      <c r="F732" s="77"/>
      <c r="I732" s="76"/>
      <c r="M732" s="76"/>
      <c r="N732" s="77"/>
      <c r="Q732" s="76"/>
    </row>
    <row r="733">
      <c r="A733" s="75"/>
      <c r="B733" s="49"/>
      <c r="C733" s="49"/>
      <c r="D733" s="49"/>
      <c r="E733" s="76"/>
      <c r="F733" s="77"/>
      <c r="I733" s="76"/>
      <c r="M733" s="76"/>
      <c r="N733" s="77"/>
      <c r="Q733" s="76"/>
    </row>
    <row r="734">
      <c r="A734" s="75"/>
      <c r="B734" s="49"/>
      <c r="C734" s="49"/>
      <c r="D734" s="49"/>
      <c r="E734" s="76"/>
      <c r="F734" s="77"/>
      <c r="I734" s="76"/>
      <c r="M734" s="76"/>
      <c r="N734" s="77"/>
      <c r="Q734" s="76"/>
    </row>
    <row r="735">
      <c r="A735" s="75"/>
      <c r="B735" s="49"/>
      <c r="C735" s="49"/>
      <c r="D735" s="49"/>
      <c r="E735" s="76"/>
      <c r="F735" s="77"/>
      <c r="I735" s="76"/>
      <c r="M735" s="76"/>
      <c r="N735" s="77"/>
      <c r="Q735" s="76"/>
    </row>
    <row r="736">
      <c r="A736" s="75"/>
      <c r="B736" s="49"/>
      <c r="C736" s="49"/>
      <c r="D736" s="49"/>
      <c r="E736" s="76"/>
      <c r="F736" s="77"/>
      <c r="I736" s="76"/>
      <c r="M736" s="76"/>
      <c r="N736" s="77"/>
      <c r="Q736" s="76"/>
    </row>
    <row r="737">
      <c r="A737" s="75"/>
      <c r="B737" s="49"/>
      <c r="C737" s="49"/>
      <c r="D737" s="49"/>
      <c r="E737" s="76"/>
      <c r="F737" s="77"/>
      <c r="I737" s="76"/>
      <c r="M737" s="76"/>
      <c r="N737" s="77"/>
      <c r="Q737" s="76"/>
    </row>
    <row r="738">
      <c r="A738" s="75"/>
      <c r="B738" s="49"/>
      <c r="C738" s="49"/>
      <c r="D738" s="49"/>
      <c r="E738" s="76"/>
      <c r="F738" s="77"/>
      <c r="I738" s="76"/>
      <c r="M738" s="76"/>
      <c r="N738" s="77"/>
      <c r="Q738" s="76"/>
    </row>
    <row r="739">
      <c r="A739" s="75"/>
      <c r="B739" s="49"/>
      <c r="C739" s="49"/>
      <c r="D739" s="49"/>
      <c r="E739" s="76"/>
      <c r="F739" s="77"/>
      <c r="I739" s="76"/>
      <c r="M739" s="76"/>
      <c r="N739" s="77"/>
      <c r="Q739" s="76"/>
    </row>
    <row r="740">
      <c r="A740" s="75"/>
      <c r="B740" s="49"/>
      <c r="C740" s="49"/>
      <c r="D740" s="49"/>
      <c r="E740" s="76"/>
      <c r="F740" s="77"/>
      <c r="I740" s="76"/>
      <c r="M740" s="76"/>
      <c r="N740" s="77"/>
      <c r="Q740" s="76"/>
    </row>
    <row r="741">
      <c r="A741" s="75"/>
      <c r="B741" s="49"/>
      <c r="C741" s="49"/>
      <c r="D741" s="49"/>
      <c r="E741" s="76"/>
      <c r="F741" s="77"/>
      <c r="I741" s="76"/>
      <c r="M741" s="76"/>
      <c r="N741" s="77"/>
      <c r="Q741" s="76"/>
    </row>
    <row r="742">
      <c r="A742" s="75"/>
      <c r="B742" s="49"/>
      <c r="C742" s="49"/>
      <c r="D742" s="49"/>
      <c r="E742" s="76"/>
      <c r="F742" s="77"/>
      <c r="I742" s="76"/>
      <c r="M742" s="76"/>
      <c r="N742" s="77"/>
      <c r="Q742" s="76"/>
    </row>
    <row r="743">
      <c r="A743" s="75"/>
      <c r="B743" s="49"/>
      <c r="C743" s="49"/>
      <c r="D743" s="49"/>
      <c r="E743" s="76"/>
      <c r="F743" s="77"/>
      <c r="I743" s="76"/>
      <c r="M743" s="76"/>
      <c r="N743" s="77"/>
      <c r="Q743" s="76"/>
    </row>
    <row r="744">
      <c r="A744" s="75"/>
      <c r="B744" s="49"/>
      <c r="C744" s="49"/>
      <c r="D744" s="49"/>
      <c r="E744" s="76"/>
      <c r="F744" s="77"/>
      <c r="I744" s="76"/>
      <c r="M744" s="76"/>
      <c r="N744" s="77"/>
      <c r="Q744" s="76"/>
    </row>
    <row r="745">
      <c r="A745" s="75"/>
      <c r="B745" s="49"/>
      <c r="C745" s="49"/>
      <c r="D745" s="49"/>
      <c r="E745" s="76"/>
      <c r="F745" s="77"/>
      <c r="I745" s="76"/>
      <c r="M745" s="76"/>
      <c r="N745" s="77"/>
      <c r="Q745" s="76"/>
    </row>
    <row r="746">
      <c r="A746" s="75"/>
      <c r="B746" s="49"/>
      <c r="C746" s="49"/>
      <c r="D746" s="49"/>
      <c r="E746" s="76"/>
      <c r="F746" s="77"/>
      <c r="I746" s="76"/>
      <c r="M746" s="76"/>
      <c r="N746" s="77"/>
      <c r="Q746" s="76"/>
    </row>
    <row r="747">
      <c r="A747" s="75"/>
      <c r="B747" s="49"/>
      <c r="C747" s="49"/>
      <c r="D747" s="49"/>
      <c r="E747" s="76"/>
      <c r="F747" s="77"/>
      <c r="I747" s="76"/>
      <c r="M747" s="76"/>
      <c r="N747" s="77"/>
      <c r="Q747" s="76"/>
    </row>
    <row r="748">
      <c r="A748" s="75"/>
      <c r="B748" s="49"/>
      <c r="C748" s="49"/>
      <c r="D748" s="49"/>
      <c r="E748" s="76"/>
      <c r="F748" s="77"/>
      <c r="I748" s="76"/>
      <c r="M748" s="76"/>
      <c r="N748" s="77"/>
      <c r="Q748" s="76"/>
    </row>
    <row r="749">
      <c r="A749" s="75"/>
      <c r="B749" s="49"/>
      <c r="C749" s="49"/>
      <c r="D749" s="49"/>
      <c r="E749" s="76"/>
      <c r="F749" s="77"/>
      <c r="I749" s="76"/>
      <c r="M749" s="76"/>
      <c r="N749" s="77"/>
      <c r="Q749" s="76"/>
    </row>
    <row r="750">
      <c r="A750" s="75"/>
      <c r="B750" s="49"/>
      <c r="C750" s="49"/>
      <c r="D750" s="49"/>
      <c r="E750" s="76"/>
      <c r="F750" s="77"/>
      <c r="I750" s="76"/>
      <c r="M750" s="76"/>
      <c r="N750" s="77"/>
      <c r="Q750" s="76"/>
    </row>
    <row r="751">
      <c r="A751" s="75"/>
      <c r="B751" s="49"/>
      <c r="C751" s="49"/>
      <c r="D751" s="49"/>
      <c r="E751" s="76"/>
      <c r="F751" s="77"/>
      <c r="I751" s="76"/>
      <c r="M751" s="76"/>
      <c r="N751" s="77"/>
      <c r="Q751" s="76"/>
    </row>
    <row r="752">
      <c r="A752" s="75"/>
      <c r="B752" s="49"/>
      <c r="C752" s="49"/>
      <c r="D752" s="49"/>
      <c r="E752" s="76"/>
      <c r="F752" s="77"/>
      <c r="I752" s="76"/>
      <c r="M752" s="76"/>
      <c r="N752" s="77"/>
      <c r="Q752" s="76"/>
    </row>
    <row r="753">
      <c r="A753" s="75"/>
      <c r="B753" s="49"/>
      <c r="C753" s="49"/>
      <c r="D753" s="49"/>
      <c r="E753" s="76"/>
      <c r="F753" s="77"/>
      <c r="I753" s="76"/>
      <c r="M753" s="76"/>
      <c r="N753" s="77"/>
      <c r="Q753" s="76"/>
    </row>
    <row r="754">
      <c r="A754" s="75"/>
      <c r="B754" s="49"/>
      <c r="C754" s="49"/>
      <c r="D754" s="49"/>
      <c r="E754" s="76"/>
      <c r="F754" s="77"/>
      <c r="I754" s="76"/>
      <c r="M754" s="76"/>
      <c r="N754" s="77"/>
      <c r="Q754" s="76"/>
    </row>
    <row r="755">
      <c r="A755" s="75"/>
      <c r="B755" s="49"/>
      <c r="C755" s="49"/>
      <c r="D755" s="49"/>
      <c r="E755" s="76"/>
      <c r="F755" s="77"/>
      <c r="I755" s="76"/>
      <c r="M755" s="76"/>
      <c r="N755" s="77"/>
      <c r="Q755" s="76"/>
    </row>
    <row r="756">
      <c r="A756" s="75"/>
      <c r="B756" s="49"/>
      <c r="C756" s="49"/>
      <c r="D756" s="49"/>
      <c r="E756" s="76"/>
      <c r="F756" s="77"/>
      <c r="I756" s="76"/>
      <c r="M756" s="76"/>
      <c r="N756" s="77"/>
      <c r="Q756" s="76"/>
    </row>
    <row r="757">
      <c r="A757" s="75"/>
      <c r="B757" s="49"/>
      <c r="C757" s="49"/>
      <c r="D757" s="49"/>
      <c r="E757" s="76"/>
      <c r="F757" s="77"/>
      <c r="I757" s="76"/>
      <c r="M757" s="76"/>
      <c r="N757" s="77"/>
      <c r="Q757" s="76"/>
    </row>
    <row r="758">
      <c r="A758" s="75"/>
      <c r="B758" s="49"/>
      <c r="C758" s="49"/>
      <c r="D758" s="49"/>
      <c r="E758" s="76"/>
      <c r="F758" s="77"/>
      <c r="I758" s="76"/>
      <c r="M758" s="76"/>
      <c r="N758" s="77"/>
      <c r="Q758" s="76"/>
    </row>
    <row r="759">
      <c r="A759" s="75"/>
      <c r="B759" s="49"/>
      <c r="C759" s="49"/>
      <c r="D759" s="49"/>
      <c r="E759" s="76"/>
      <c r="F759" s="77"/>
      <c r="I759" s="76"/>
      <c r="M759" s="76"/>
      <c r="N759" s="77"/>
      <c r="Q759" s="76"/>
    </row>
    <row r="760">
      <c r="A760" s="75"/>
      <c r="B760" s="49"/>
      <c r="C760" s="49"/>
      <c r="D760" s="49"/>
      <c r="E760" s="76"/>
      <c r="F760" s="77"/>
      <c r="I760" s="76"/>
      <c r="M760" s="76"/>
      <c r="N760" s="77"/>
      <c r="Q760" s="76"/>
    </row>
    <row r="761">
      <c r="A761" s="75"/>
      <c r="B761" s="49"/>
      <c r="C761" s="49"/>
      <c r="D761" s="49"/>
      <c r="E761" s="76"/>
      <c r="F761" s="77"/>
      <c r="I761" s="76"/>
      <c r="M761" s="76"/>
      <c r="N761" s="77"/>
      <c r="Q761" s="76"/>
    </row>
    <row r="762">
      <c r="A762" s="75"/>
      <c r="B762" s="49"/>
      <c r="C762" s="49"/>
      <c r="D762" s="49"/>
      <c r="E762" s="76"/>
      <c r="F762" s="77"/>
      <c r="I762" s="76"/>
      <c r="M762" s="76"/>
      <c r="N762" s="77"/>
      <c r="Q762" s="76"/>
    </row>
    <row r="763">
      <c r="A763" s="75"/>
      <c r="B763" s="49"/>
      <c r="C763" s="49"/>
      <c r="D763" s="49"/>
      <c r="E763" s="76"/>
      <c r="F763" s="77"/>
      <c r="I763" s="76"/>
      <c r="M763" s="76"/>
      <c r="N763" s="77"/>
      <c r="Q763" s="76"/>
    </row>
    <row r="764">
      <c r="A764" s="75"/>
      <c r="B764" s="49"/>
      <c r="C764" s="49"/>
      <c r="D764" s="49"/>
      <c r="E764" s="76"/>
      <c r="F764" s="77"/>
      <c r="I764" s="76"/>
      <c r="M764" s="76"/>
      <c r="N764" s="77"/>
      <c r="Q764" s="76"/>
    </row>
    <row r="765">
      <c r="A765" s="75"/>
      <c r="B765" s="49"/>
      <c r="C765" s="49"/>
      <c r="D765" s="49"/>
      <c r="E765" s="76"/>
      <c r="F765" s="77"/>
      <c r="I765" s="76"/>
      <c r="M765" s="76"/>
      <c r="N765" s="77"/>
      <c r="Q765" s="76"/>
    </row>
    <row r="766">
      <c r="A766" s="75"/>
      <c r="B766" s="49"/>
      <c r="C766" s="49"/>
      <c r="D766" s="49"/>
      <c r="E766" s="76"/>
      <c r="F766" s="77"/>
      <c r="I766" s="76"/>
      <c r="M766" s="76"/>
      <c r="N766" s="77"/>
      <c r="Q766" s="76"/>
    </row>
    <row r="767">
      <c r="A767" s="75"/>
      <c r="B767" s="49"/>
      <c r="C767" s="49"/>
      <c r="D767" s="49"/>
      <c r="E767" s="76"/>
      <c r="F767" s="77"/>
      <c r="I767" s="76"/>
      <c r="M767" s="76"/>
      <c r="N767" s="77"/>
      <c r="Q767" s="76"/>
    </row>
    <row r="768">
      <c r="A768" s="75"/>
      <c r="B768" s="49"/>
      <c r="C768" s="49"/>
      <c r="D768" s="49"/>
      <c r="E768" s="76"/>
      <c r="F768" s="77"/>
      <c r="I768" s="76"/>
      <c r="M768" s="76"/>
      <c r="N768" s="77"/>
      <c r="Q768" s="76"/>
    </row>
    <row r="769">
      <c r="A769" s="75"/>
      <c r="B769" s="49"/>
      <c r="C769" s="49"/>
      <c r="D769" s="49"/>
      <c r="E769" s="76"/>
      <c r="F769" s="77"/>
      <c r="I769" s="76"/>
      <c r="M769" s="76"/>
      <c r="N769" s="77"/>
      <c r="Q769" s="76"/>
    </row>
    <row r="770">
      <c r="A770" s="75"/>
      <c r="B770" s="49"/>
      <c r="C770" s="49"/>
      <c r="D770" s="49"/>
      <c r="E770" s="76"/>
      <c r="F770" s="77"/>
      <c r="I770" s="76"/>
      <c r="M770" s="76"/>
      <c r="N770" s="77"/>
      <c r="Q770" s="76"/>
    </row>
    <row r="771">
      <c r="A771" s="75"/>
      <c r="B771" s="49"/>
      <c r="C771" s="49"/>
      <c r="D771" s="49"/>
      <c r="E771" s="76"/>
      <c r="F771" s="77"/>
      <c r="I771" s="76"/>
      <c r="M771" s="76"/>
      <c r="N771" s="77"/>
      <c r="Q771" s="76"/>
    </row>
    <row r="772">
      <c r="A772" s="75"/>
      <c r="B772" s="49"/>
      <c r="C772" s="49"/>
      <c r="D772" s="49"/>
      <c r="E772" s="76"/>
      <c r="F772" s="77"/>
      <c r="I772" s="76"/>
      <c r="M772" s="76"/>
      <c r="N772" s="77"/>
      <c r="Q772" s="76"/>
    </row>
    <row r="773">
      <c r="A773" s="75"/>
      <c r="B773" s="49"/>
      <c r="C773" s="49"/>
      <c r="D773" s="49"/>
      <c r="E773" s="76"/>
      <c r="F773" s="77"/>
      <c r="I773" s="76"/>
      <c r="M773" s="76"/>
      <c r="N773" s="77"/>
      <c r="Q773" s="76"/>
    </row>
    <row r="774">
      <c r="A774" s="75"/>
      <c r="B774" s="49"/>
      <c r="C774" s="49"/>
      <c r="D774" s="49"/>
      <c r="E774" s="76"/>
      <c r="F774" s="77"/>
      <c r="I774" s="76"/>
      <c r="M774" s="76"/>
      <c r="N774" s="77"/>
      <c r="Q774" s="76"/>
    </row>
    <row r="775">
      <c r="A775" s="75"/>
      <c r="B775" s="49"/>
      <c r="C775" s="49"/>
      <c r="D775" s="49"/>
      <c r="E775" s="76"/>
      <c r="F775" s="77"/>
      <c r="I775" s="76"/>
      <c r="M775" s="76"/>
      <c r="N775" s="77"/>
      <c r="Q775" s="76"/>
    </row>
    <row r="776">
      <c r="A776" s="75"/>
      <c r="B776" s="49"/>
      <c r="C776" s="49"/>
      <c r="D776" s="49"/>
      <c r="E776" s="76"/>
      <c r="F776" s="77"/>
      <c r="I776" s="76"/>
      <c r="M776" s="76"/>
      <c r="N776" s="77"/>
      <c r="Q776" s="76"/>
    </row>
    <row r="777">
      <c r="A777" s="75"/>
      <c r="B777" s="49"/>
      <c r="C777" s="49"/>
      <c r="D777" s="49"/>
      <c r="E777" s="76"/>
      <c r="F777" s="77"/>
      <c r="I777" s="76"/>
      <c r="M777" s="76"/>
      <c r="N777" s="77"/>
      <c r="Q777" s="76"/>
    </row>
    <row r="778">
      <c r="A778" s="75"/>
      <c r="B778" s="49"/>
      <c r="C778" s="49"/>
      <c r="D778" s="49"/>
      <c r="E778" s="76"/>
      <c r="F778" s="77"/>
      <c r="I778" s="76"/>
      <c r="M778" s="76"/>
      <c r="N778" s="77"/>
      <c r="Q778" s="76"/>
    </row>
    <row r="779">
      <c r="A779" s="75"/>
      <c r="B779" s="49"/>
      <c r="C779" s="49"/>
      <c r="D779" s="49"/>
      <c r="E779" s="76"/>
      <c r="F779" s="77"/>
      <c r="I779" s="76"/>
      <c r="M779" s="76"/>
      <c r="N779" s="77"/>
      <c r="Q779" s="76"/>
    </row>
    <row r="780">
      <c r="A780" s="75"/>
      <c r="B780" s="49"/>
      <c r="C780" s="49"/>
      <c r="D780" s="49"/>
      <c r="E780" s="76"/>
      <c r="F780" s="77"/>
      <c r="I780" s="76"/>
      <c r="M780" s="76"/>
      <c r="N780" s="77"/>
      <c r="Q780" s="76"/>
    </row>
    <row r="781">
      <c r="A781" s="75"/>
      <c r="B781" s="49"/>
      <c r="C781" s="49"/>
      <c r="D781" s="49"/>
      <c r="E781" s="76"/>
      <c r="F781" s="77"/>
      <c r="I781" s="76"/>
      <c r="M781" s="76"/>
      <c r="N781" s="77"/>
      <c r="Q781" s="76"/>
    </row>
    <row r="782">
      <c r="A782" s="75"/>
      <c r="B782" s="49"/>
      <c r="C782" s="49"/>
      <c r="D782" s="49"/>
      <c r="E782" s="76"/>
      <c r="F782" s="77"/>
      <c r="I782" s="76"/>
      <c r="M782" s="76"/>
      <c r="N782" s="77"/>
      <c r="Q782" s="76"/>
    </row>
    <row r="783">
      <c r="A783" s="75"/>
      <c r="B783" s="49"/>
      <c r="C783" s="49"/>
      <c r="D783" s="49"/>
      <c r="E783" s="76"/>
      <c r="F783" s="77"/>
      <c r="I783" s="76"/>
      <c r="M783" s="76"/>
      <c r="N783" s="77"/>
      <c r="Q783" s="76"/>
    </row>
    <row r="784">
      <c r="A784" s="75"/>
      <c r="B784" s="49"/>
      <c r="C784" s="49"/>
      <c r="D784" s="49"/>
      <c r="E784" s="76"/>
      <c r="F784" s="77"/>
      <c r="I784" s="76"/>
      <c r="M784" s="76"/>
      <c r="N784" s="77"/>
      <c r="Q784" s="76"/>
    </row>
    <row r="785">
      <c r="A785" s="75"/>
      <c r="B785" s="49"/>
      <c r="C785" s="49"/>
      <c r="D785" s="49"/>
      <c r="E785" s="76"/>
      <c r="F785" s="77"/>
      <c r="I785" s="76"/>
      <c r="M785" s="76"/>
      <c r="N785" s="77"/>
      <c r="Q785" s="76"/>
    </row>
    <row r="786">
      <c r="A786" s="75"/>
      <c r="B786" s="49"/>
      <c r="C786" s="49"/>
      <c r="D786" s="49"/>
      <c r="E786" s="76"/>
      <c r="F786" s="77"/>
      <c r="I786" s="76"/>
      <c r="M786" s="76"/>
      <c r="N786" s="77"/>
      <c r="Q786" s="76"/>
    </row>
    <row r="787">
      <c r="A787" s="75"/>
      <c r="B787" s="49"/>
      <c r="C787" s="49"/>
      <c r="D787" s="49"/>
      <c r="E787" s="76"/>
      <c r="F787" s="77"/>
      <c r="I787" s="76"/>
      <c r="M787" s="76"/>
      <c r="N787" s="77"/>
      <c r="Q787" s="76"/>
    </row>
    <row r="788">
      <c r="A788" s="75"/>
      <c r="B788" s="49"/>
      <c r="C788" s="49"/>
      <c r="D788" s="49"/>
      <c r="E788" s="76"/>
      <c r="F788" s="77"/>
      <c r="I788" s="76"/>
      <c r="M788" s="76"/>
      <c r="N788" s="77"/>
      <c r="Q788" s="76"/>
    </row>
    <row r="789">
      <c r="A789" s="75"/>
      <c r="B789" s="49"/>
      <c r="C789" s="49"/>
      <c r="D789" s="49"/>
      <c r="E789" s="76"/>
      <c r="F789" s="77"/>
      <c r="I789" s="76"/>
      <c r="M789" s="76"/>
      <c r="N789" s="77"/>
      <c r="Q789" s="76"/>
    </row>
    <row r="790">
      <c r="A790" s="75"/>
      <c r="B790" s="49"/>
      <c r="C790" s="49"/>
      <c r="D790" s="49"/>
      <c r="E790" s="76"/>
      <c r="F790" s="77"/>
      <c r="I790" s="76"/>
      <c r="M790" s="76"/>
      <c r="N790" s="77"/>
      <c r="Q790" s="76"/>
    </row>
    <row r="791">
      <c r="A791" s="75"/>
      <c r="B791" s="49"/>
      <c r="C791" s="49"/>
      <c r="D791" s="49"/>
      <c r="E791" s="76"/>
      <c r="F791" s="77"/>
      <c r="I791" s="76"/>
      <c r="M791" s="76"/>
      <c r="N791" s="77"/>
      <c r="Q791" s="76"/>
    </row>
    <row r="792">
      <c r="A792" s="75"/>
      <c r="B792" s="49"/>
      <c r="C792" s="49"/>
      <c r="D792" s="49"/>
      <c r="E792" s="76"/>
      <c r="F792" s="77"/>
      <c r="I792" s="76"/>
      <c r="M792" s="76"/>
      <c r="N792" s="77"/>
      <c r="Q792" s="76"/>
    </row>
    <row r="793">
      <c r="A793" s="75"/>
      <c r="B793" s="49"/>
      <c r="C793" s="49"/>
      <c r="D793" s="49"/>
      <c r="E793" s="76"/>
      <c r="F793" s="77"/>
      <c r="I793" s="76"/>
      <c r="M793" s="76"/>
      <c r="N793" s="77"/>
      <c r="Q793" s="76"/>
    </row>
    <row r="794">
      <c r="A794" s="75"/>
      <c r="B794" s="49"/>
      <c r="C794" s="49"/>
      <c r="D794" s="49"/>
      <c r="E794" s="76"/>
      <c r="F794" s="77"/>
      <c r="I794" s="76"/>
      <c r="M794" s="76"/>
      <c r="N794" s="77"/>
      <c r="Q794" s="76"/>
    </row>
    <row r="795">
      <c r="A795" s="75"/>
      <c r="B795" s="49"/>
      <c r="C795" s="49"/>
      <c r="D795" s="49"/>
      <c r="E795" s="76"/>
      <c r="F795" s="77"/>
      <c r="I795" s="76"/>
      <c r="M795" s="76"/>
      <c r="N795" s="77"/>
      <c r="Q795" s="76"/>
    </row>
    <row r="796">
      <c r="A796" s="75"/>
      <c r="B796" s="49"/>
      <c r="C796" s="49"/>
      <c r="D796" s="49"/>
      <c r="E796" s="76"/>
      <c r="F796" s="77"/>
      <c r="I796" s="76"/>
      <c r="M796" s="76"/>
      <c r="N796" s="77"/>
      <c r="Q796" s="76"/>
    </row>
    <row r="797">
      <c r="A797" s="75"/>
      <c r="B797" s="49"/>
      <c r="C797" s="49"/>
      <c r="D797" s="49"/>
      <c r="E797" s="76"/>
      <c r="F797" s="77"/>
      <c r="I797" s="76"/>
      <c r="M797" s="76"/>
      <c r="N797" s="77"/>
      <c r="Q797" s="76"/>
    </row>
    <row r="798">
      <c r="A798" s="75"/>
      <c r="B798" s="49"/>
      <c r="C798" s="49"/>
      <c r="D798" s="49"/>
      <c r="E798" s="76"/>
      <c r="F798" s="77"/>
      <c r="I798" s="76"/>
      <c r="M798" s="76"/>
      <c r="N798" s="77"/>
      <c r="Q798" s="76"/>
    </row>
    <row r="799">
      <c r="A799" s="75"/>
      <c r="B799" s="49"/>
      <c r="C799" s="49"/>
      <c r="D799" s="49"/>
      <c r="E799" s="76"/>
      <c r="F799" s="77"/>
      <c r="I799" s="76"/>
      <c r="M799" s="76"/>
      <c r="N799" s="77"/>
      <c r="Q799" s="76"/>
    </row>
    <row r="800">
      <c r="A800" s="75"/>
      <c r="B800" s="49"/>
      <c r="C800" s="49"/>
      <c r="D800" s="49"/>
      <c r="E800" s="76"/>
      <c r="F800" s="77"/>
      <c r="I800" s="76"/>
      <c r="M800" s="76"/>
      <c r="N800" s="77"/>
      <c r="Q800" s="76"/>
    </row>
    <row r="801">
      <c r="A801" s="75"/>
      <c r="B801" s="49"/>
      <c r="C801" s="49"/>
      <c r="D801" s="49"/>
      <c r="E801" s="76"/>
      <c r="F801" s="77"/>
      <c r="I801" s="76"/>
      <c r="M801" s="76"/>
      <c r="N801" s="77"/>
      <c r="Q801" s="76"/>
    </row>
    <row r="802">
      <c r="A802" s="75"/>
      <c r="B802" s="49"/>
      <c r="C802" s="49"/>
      <c r="D802" s="49"/>
      <c r="E802" s="76"/>
      <c r="F802" s="77"/>
      <c r="I802" s="76"/>
      <c r="M802" s="76"/>
      <c r="N802" s="77"/>
      <c r="Q802" s="76"/>
    </row>
    <row r="803">
      <c r="A803" s="75"/>
      <c r="B803" s="49"/>
      <c r="C803" s="49"/>
      <c r="D803" s="49"/>
      <c r="E803" s="76"/>
      <c r="F803" s="77"/>
      <c r="I803" s="76"/>
      <c r="M803" s="76"/>
      <c r="N803" s="77"/>
      <c r="Q803" s="76"/>
    </row>
    <row r="804">
      <c r="A804" s="75"/>
      <c r="B804" s="49"/>
      <c r="C804" s="49"/>
      <c r="D804" s="49"/>
      <c r="E804" s="76"/>
      <c r="F804" s="77"/>
      <c r="I804" s="76"/>
      <c r="M804" s="76"/>
      <c r="N804" s="77"/>
      <c r="Q804" s="76"/>
    </row>
    <row r="805">
      <c r="A805" s="75"/>
      <c r="B805" s="49"/>
      <c r="C805" s="49"/>
      <c r="D805" s="49"/>
      <c r="E805" s="76"/>
      <c r="F805" s="77"/>
      <c r="I805" s="76"/>
      <c r="M805" s="76"/>
      <c r="N805" s="77"/>
      <c r="Q805" s="76"/>
    </row>
    <row r="806">
      <c r="A806" s="75"/>
      <c r="B806" s="49"/>
      <c r="C806" s="49"/>
      <c r="D806" s="49"/>
      <c r="E806" s="76"/>
      <c r="F806" s="77"/>
      <c r="I806" s="76"/>
      <c r="M806" s="76"/>
      <c r="N806" s="77"/>
      <c r="Q806" s="76"/>
    </row>
    <row r="807">
      <c r="A807" s="75"/>
      <c r="B807" s="49"/>
      <c r="C807" s="49"/>
      <c r="D807" s="49"/>
      <c r="E807" s="76"/>
      <c r="F807" s="77"/>
      <c r="I807" s="76"/>
      <c r="M807" s="76"/>
      <c r="N807" s="77"/>
      <c r="Q807" s="76"/>
    </row>
    <row r="808">
      <c r="A808" s="75"/>
      <c r="B808" s="49"/>
      <c r="C808" s="49"/>
      <c r="D808" s="49"/>
      <c r="E808" s="76"/>
      <c r="F808" s="77"/>
      <c r="I808" s="76"/>
      <c r="M808" s="76"/>
      <c r="N808" s="77"/>
      <c r="Q808" s="76"/>
    </row>
    <row r="809">
      <c r="A809" s="75"/>
      <c r="B809" s="49"/>
      <c r="C809" s="49"/>
      <c r="D809" s="49"/>
      <c r="E809" s="76"/>
      <c r="F809" s="77"/>
      <c r="I809" s="76"/>
      <c r="M809" s="76"/>
      <c r="N809" s="77"/>
      <c r="Q809" s="76"/>
    </row>
    <row r="810">
      <c r="A810" s="75"/>
      <c r="B810" s="49"/>
      <c r="C810" s="49"/>
      <c r="D810" s="49"/>
      <c r="E810" s="76"/>
      <c r="F810" s="77"/>
      <c r="I810" s="76"/>
      <c r="M810" s="76"/>
      <c r="N810" s="77"/>
      <c r="Q810" s="76"/>
    </row>
    <row r="811">
      <c r="A811" s="75"/>
      <c r="B811" s="49"/>
      <c r="C811" s="49"/>
      <c r="D811" s="49"/>
      <c r="E811" s="76"/>
      <c r="F811" s="77"/>
      <c r="I811" s="76"/>
      <c r="M811" s="76"/>
      <c r="N811" s="77"/>
      <c r="Q811" s="76"/>
    </row>
    <row r="812">
      <c r="A812" s="75"/>
      <c r="B812" s="49"/>
      <c r="C812" s="49"/>
      <c r="D812" s="49"/>
      <c r="E812" s="76"/>
      <c r="F812" s="77"/>
      <c r="I812" s="76"/>
      <c r="M812" s="76"/>
      <c r="N812" s="77"/>
      <c r="Q812" s="76"/>
    </row>
    <row r="813">
      <c r="A813" s="75"/>
      <c r="B813" s="49"/>
      <c r="C813" s="49"/>
      <c r="D813" s="49"/>
      <c r="E813" s="76"/>
      <c r="F813" s="77"/>
      <c r="I813" s="76"/>
      <c r="M813" s="76"/>
      <c r="N813" s="77"/>
      <c r="Q813" s="76"/>
    </row>
    <row r="814">
      <c r="A814" s="75"/>
      <c r="B814" s="49"/>
      <c r="C814" s="49"/>
      <c r="D814" s="49"/>
      <c r="E814" s="76"/>
      <c r="F814" s="77"/>
      <c r="I814" s="76"/>
      <c r="M814" s="76"/>
      <c r="N814" s="77"/>
      <c r="Q814" s="76"/>
    </row>
    <row r="815">
      <c r="A815" s="75"/>
      <c r="B815" s="49"/>
      <c r="C815" s="49"/>
      <c r="D815" s="49"/>
      <c r="E815" s="76"/>
      <c r="F815" s="77"/>
      <c r="I815" s="76"/>
      <c r="M815" s="76"/>
      <c r="N815" s="77"/>
      <c r="Q815" s="76"/>
    </row>
    <row r="816">
      <c r="A816" s="75"/>
      <c r="B816" s="49"/>
      <c r="C816" s="49"/>
      <c r="D816" s="49"/>
      <c r="E816" s="76"/>
      <c r="F816" s="77"/>
      <c r="I816" s="76"/>
      <c r="M816" s="76"/>
      <c r="N816" s="77"/>
      <c r="Q816" s="76"/>
    </row>
    <row r="817">
      <c r="A817" s="75"/>
      <c r="B817" s="49"/>
      <c r="C817" s="49"/>
      <c r="D817" s="49"/>
      <c r="E817" s="76"/>
      <c r="F817" s="77"/>
      <c r="I817" s="76"/>
      <c r="M817" s="76"/>
      <c r="N817" s="77"/>
      <c r="Q817" s="76"/>
    </row>
    <row r="818">
      <c r="A818" s="75"/>
      <c r="B818" s="49"/>
      <c r="C818" s="49"/>
      <c r="D818" s="49"/>
      <c r="E818" s="76"/>
      <c r="F818" s="77"/>
      <c r="I818" s="76"/>
      <c r="M818" s="76"/>
      <c r="N818" s="77"/>
      <c r="Q818" s="76"/>
    </row>
    <row r="819">
      <c r="A819" s="75"/>
      <c r="B819" s="49"/>
      <c r="C819" s="49"/>
      <c r="D819" s="49"/>
      <c r="E819" s="76"/>
      <c r="F819" s="77"/>
      <c r="I819" s="76"/>
      <c r="M819" s="76"/>
      <c r="N819" s="77"/>
      <c r="Q819" s="76"/>
    </row>
    <row r="820">
      <c r="A820" s="75"/>
      <c r="B820" s="49"/>
      <c r="C820" s="49"/>
      <c r="D820" s="49"/>
      <c r="E820" s="76"/>
      <c r="F820" s="77"/>
      <c r="I820" s="76"/>
      <c r="M820" s="76"/>
      <c r="N820" s="77"/>
      <c r="Q820" s="76"/>
    </row>
    <row r="821">
      <c r="A821" s="75"/>
      <c r="B821" s="49"/>
      <c r="C821" s="49"/>
      <c r="D821" s="49"/>
      <c r="E821" s="76"/>
      <c r="F821" s="77"/>
      <c r="I821" s="76"/>
      <c r="M821" s="76"/>
      <c r="N821" s="77"/>
      <c r="Q821" s="76"/>
    </row>
    <row r="822">
      <c r="A822" s="75"/>
      <c r="B822" s="49"/>
      <c r="C822" s="49"/>
      <c r="D822" s="49"/>
      <c r="E822" s="76"/>
      <c r="F822" s="77"/>
      <c r="I822" s="76"/>
      <c r="M822" s="76"/>
      <c r="N822" s="77"/>
      <c r="Q822" s="76"/>
    </row>
    <row r="823">
      <c r="A823" s="75"/>
      <c r="B823" s="49"/>
      <c r="C823" s="49"/>
      <c r="D823" s="49"/>
      <c r="E823" s="76"/>
      <c r="F823" s="77"/>
      <c r="I823" s="76"/>
      <c r="M823" s="76"/>
      <c r="N823" s="77"/>
      <c r="Q823" s="76"/>
    </row>
    <row r="824">
      <c r="A824" s="75"/>
      <c r="B824" s="49"/>
      <c r="C824" s="49"/>
      <c r="D824" s="49"/>
      <c r="E824" s="76"/>
      <c r="F824" s="77"/>
      <c r="I824" s="76"/>
      <c r="M824" s="76"/>
      <c r="N824" s="77"/>
      <c r="Q824" s="76"/>
    </row>
    <row r="825">
      <c r="A825" s="75"/>
      <c r="B825" s="49"/>
      <c r="C825" s="49"/>
      <c r="D825" s="49"/>
      <c r="E825" s="76"/>
      <c r="F825" s="77"/>
      <c r="I825" s="76"/>
      <c r="M825" s="76"/>
      <c r="N825" s="77"/>
      <c r="Q825" s="76"/>
    </row>
    <row r="826">
      <c r="A826" s="75"/>
      <c r="B826" s="49"/>
      <c r="C826" s="49"/>
      <c r="D826" s="49"/>
      <c r="E826" s="76"/>
      <c r="F826" s="77"/>
      <c r="I826" s="76"/>
      <c r="M826" s="76"/>
      <c r="N826" s="77"/>
      <c r="Q826" s="76"/>
    </row>
    <row r="827">
      <c r="A827" s="75"/>
      <c r="B827" s="49"/>
      <c r="C827" s="49"/>
      <c r="D827" s="49"/>
      <c r="E827" s="76"/>
      <c r="F827" s="77"/>
      <c r="I827" s="76"/>
      <c r="M827" s="76"/>
      <c r="N827" s="77"/>
      <c r="Q827" s="76"/>
    </row>
    <row r="828">
      <c r="A828" s="75"/>
      <c r="B828" s="49"/>
      <c r="C828" s="49"/>
      <c r="D828" s="49"/>
      <c r="E828" s="76"/>
      <c r="F828" s="77"/>
      <c r="I828" s="76"/>
      <c r="M828" s="76"/>
      <c r="N828" s="77"/>
      <c r="Q828" s="76"/>
    </row>
    <row r="829">
      <c r="A829" s="75"/>
      <c r="B829" s="49"/>
      <c r="C829" s="49"/>
      <c r="D829" s="49"/>
      <c r="E829" s="76"/>
      <c r="F829" s="77"/>
      <c r="I829" s="76"/>
      <c r="M829" s="76"/>
      <c r="N829" s="77"/>
      <c r="Q829" s="76"/>
    </row>
    <row r="830">
      <c r="A830" s="75"/>
      <c r="B830" s="49"/>
      <c r="C830" s="49"/>
      <c r="D830" s="49"/>
      <c r="E830" s="76"/>
      <c r="F830" s="77"/>
      <c r="I830" s="76"/>
      <c r="M830" s="76"/>
      <c r="N830" s="77"/>
      <c r="Q830" s="76"/>
    </row>
    <row r="831">
      <c r="A831" s="75"/>
      <c r="B831" s="49"/>
      <c r="C831" s="49"/>
      <c r="D831" s="49"/>
      <c r="E831" s="76"/>
      <c r="F831" s="77"/>
      <c r="I831" s="76"/>
      <c r="M831" s="76"/>
      <c r="N831" s="77"/>
      <c r="Q831" s="76"/>
    </row>
    <row r="832">
      <c r="A832" s="75"/>
      <c r="B832" s="49"/>
      <c r="C832" s="49"/>
      <c r="D832" s="49"/>
      <c r="E832" s="76"/>
      <c r="F832" s="77"/>
      <c r="I832" s="76"/>
      <c r="M832" s="76"/>
      <c r="N832" s="77"/>
      <c r="Q832" s="76"/>
    </row>
    <row r="833">
      <c r="A833" s="75"/>
      <c r="B833" s="49"/>
      <c r="C833" s="49"/>
      <c r="D833" s="49"/>
      <c r="E833" s="76"/>
      <c r="F833" s="77"/>
      <c r="I833" s="76"/>
      <c r="M833" s="76"/>
      <c r="N833" s="77"/>
      <c r="Q833" s="76"/>
    </row>
    <row r="834">
      <c r="A834" s="75"/>
      <c r="B834" s="49"/>
      <c r="C834" s="49"/>
      <c r="D834" s="49"/>
      <c r="E834" s="76"/>
      <c r="F834" s="77"/>
      <c r="I834" s="76"/>
      <c r="M834" s="76"/>
      <c r="N834" s="77"/>
      <c r="Q834" s="76"/>
    </row>
    <row r="835">
      <c r="A835" s="75"/>
      <c r="B835" s="49"/>
      <c r="C835" s="49"/>
      <c r="D835" s="49"/>
      <c r="E835" s="76"/>
      <c r="F835" s="77"/>
      <c r="I835" s="76"/>
      <c r="M835" s="76"/>
      <c r="N835" s="77"/>
      <c r="Q835" s="76"/>
    </row>
    <row r="836">
      <c r="A836" s="75"/>
      <c r="B836" s="49"/>
      <c r="C836" s="49"/>
      <c r="D836" s="49"/>
      <c r="E836" s="76"/>
      <c r="F836" s="77"/>
      <c r="I836" s="76"/>
      <c r="M836" s="76"/>
      <c r="N836" s="77"/>
      <c r="Q836" s="76"/>
    </row>
    <row r="837">
      <c r="A837" s="75"/>
      <c r="B837" s="49"/>
      <c r="C837" s="49"/>
      <c r="D837" s="49"/>
      <c r="E837" s="76"/>
      <c r="F837" s="77"/>
      <c r="I837" s="76"/>
      <c r="M837" s="76"/>
      <c r="N837" s="77"/>
      <c r="Q837" s="76"/>
    </row>
    <row r="838">
      <c r="A838" s="75"/>
      <c r="B838" s="49"/>
      <c r="C838" s="49"/>
      <c r="D838" s="49"/>
      <c r="E838" s="76"/>
      <c r="F838" s="77"/>
      <c r="I838" s="76"/>
      <c r="M838" s="76"/>
      <c r="N838" s="77"/>
      <c r="Q838" s="76"/>
    </row>
    <row r="839">
      <c r="A839" s="75"/>
      <c r="B839" s="49"/>
      <c r="C839" s="49"/>
      <c r="D839" s="49"/>
      <c r="E839" s="76"/>
      <c r="F839" s="77"/>
      <c r="I839" s="76"/>
      <c r="M839" s="76"/>
      <c r="N839" s="77"/>
      <c r="Q839" s="76"/>
    </row>
    <row r="840">
      <c r="A840" s="75"/>
      <c r="B840" s="49"/>
      <c r="C840" s="49"/>
      <c r="D840" s="49"/>
      <c r="E840" s="76"/>
      <c r="F840" s="77"/>
      <c r="I840" s="76"/>
      <c r="M840" s="76"/>
      <c r="N840" s="77"/>
      <c r="Q840" s="76"/>
    </row>
    <row r="841">
      <c r="A841" s="75"/>
      <c r="B841" s="49"/>
      <c r="C841" s="49"/>
      <c r="D841" s="49"/>
      <c r="E841" s="76"/>
      <c r="F841" s="77"/>
      <c r="I841" s="76"/>
      <c r="M841" s="76"/>
      <c r="N841" s="77"/>
      <c r="Q841" s="76"/>
    </row>
    <row r="842">
      <c r="A842" s="75"/>
      <c r="B842" s="49"/>
      <c r="C842" s="49"/>
      <c r="D842" s="49"/>
      <c r="E842" s="76"/>
      <c r="F842" s="77"/>
      <c r="I842" s="76"/>
      <c r="M842" s="76"/>
      <c r="N842" s="77"/>
      <c r="Q842" s="76"/>
    </row>
    <row r="843">
      <c r="A843" s="75"/>
      <c r="B843" s="49"/>
      <c r="C843" s="49"/>
      <c r="D843" s="49"/>
      <c r="E843" s="76"/>
      <c r="F843" s="77"/>
      <c r="I843" s="76"/>
      <c r="M843" s="76"/>
      <c r="N843" s="77"/>
      <c r="Q843" s="76"/>
    </row>
    <row r="844">
      <c r="A844" s="75"/>
      <c r="B844" s="49"/>
      <c r="C844" s="49"/>
      <c r="D844" s="49"/>
      <c r="E844" s="76"/>
      <c r="F844" s="77"/>
      <c r="I844" s="76"/>
      <c r="M844" s="76"/>
      <c r="N844" s="77"/>
      <c r="Q844" s="76"/>
    </row>
    <row r="845">
      <c r="A845" s="75"/>
      <c r="B845" s="49"/>
      <c r="C845" s="49"/>
      <c r="D845" s="49"/>
      <c r="E845" s="76"/>
      <c r="F845" s="77"/>
      <c r="I845" s="76"/>
      <c r="M845" s="76"/>
      <c r="N845" s="77"/>
      <c r="Q845" s="76"/>
    </row>
    <row r="846">
      <c r="A846" s="75"/>
      <c r="B846" s="49"/>
      <c r="C846" s="49"/>
      <c r="D846" s="49"/>
      <c r="E846" s="76"/>
      <c r="F846" s="77"/>
      <c r="I846" s="76"/>
      <c r="M846" s="76"/>
      <c r="N846" s="77"/>
      <c r="Q846" s="76"/>
    </row>
    <row r="847">
      <c r="A847" s="75"/>
      <c r="B847" s="49"/>
      <c r="C847" s="49"/>
      <c r="D847" s="49"/>
      <c r="E847" s="76"/>
      <c r="F847" s="77"/>
      <c r="I847" s="76"/>
      <c r="M847" s="76"/>
      <c r="N847" s="77"/>
      <c r="Q847" s="76"/>
    </row>
    <row r="848">
      <c r="A848" s="75"/>
      <c r="B848" s="49"/>
      <c r="C848" s="49"/>
      <c r="D848" s="49"/>
      <c r="E848" s="76"/>
      <c r="F848" s="77"/>
      <c r="I848" s="76"/>
      <c r="M848" s="76"/>
      <c r="N848" s="77"/>
      <c r="Q848" s="76"/>
    </row>
    <row r="849">
      <c r="A849" s="75"/>
      <c r="B849" s="49"/>
      <c r="C849" s="49"/>
      <c r="D849" s="49"/>
      <c r="E849" s="76"/>
      <c r="F849" s="77"/>
      <c r="I849" s="76"/>
      <c r="M849" s="76"/>
      <c r="N849" s="77"/>
      <c r="Q849" s="76"/>
    </row>
    <row r="850">
      <c r="A850" s="75"/>
      <c r="B850" s="49"/>
      <c r="C850" s="49"/>
      <c r="D850" s="49"/>
      <c r="E850" s="76"/>
      <c r="F850" s="77"/>
      <c r="I850" s="76"/>
      <c r="M850" s="76"/>
      <c r="N850" s="77"/>
      <c r="Q850" s="76"/>
    </row>
    <row r="851">
      <c r="A851" s="75"/>
      <c r="B851" s="49"/>
      <c r="C851" s="49"/>
      <c r="D851" s="49"/>
      <c r="E851" s="76"/>
      <c r="F851" s="77"/>
      <c r="I851" s="76"/>
      <c r="M851" s="76"/>
      <c r="N851" s="77"/>
      <c r="Q851" s="76"/>
    </row>
    <row r="852">
      <c r="A852" s="75"/>
      <c r="B852" s="49"/>
      <c r="C852" s="49"/>
      <c r="D852" s="49"/>
      <c r="E852" s="76"/>
      <c r="F852" s="77"/>
      <c r="I852" s="76"/>
      <c r="M852" s="76"/>
      <c r="N852" s="77"/>
      <c r="Q852" s="76"/>
    </row>
    <row r="853">
      <c r="A853" s="75"/>
      <c r="B853" s="49"/>
      <c r="C853" s="49"/>
      <c r="D853" s="49"/>
      <c r="E853" s="76"/>
      <c r="F853" s="77"/>
      <c r="I853" s="76"/>
      <c r="M853" s="76"/>
      <c r="N853" s="77"/>
      <c r="Q853" s="76"/>
    </row>
    <row r="854">
      <c r="A854" s="75"/>
      <c r="B854" s="49"/>
      <c r="C854" s="49"/>
      <c r="D854" s="49"/>
      <c r="E854" s="76"/>
      <c r="F854" s="77"/>
      <c r="I854" s="76"/>
      <c r="M854" s="76"/>
      <c r="N854" s="77"/>
      <c r="Q854" s="76"/>
    </row>
    <row r="855">
      <c r="A855" s="75"/>
      <c r="B855" s="49"/>
      <c r="C855" s="49"/>
      <c r="D855" s="49"/>
      <c r="E855" s="76"/>
      <c r="F855" s="77"/>
      <c r="I855" s="76"/>
      <c r="M855" s="76"/>
      <c r="N855" s="77"/>
      <c r="Q855" s="76"/>
    </row>
    <row r="856">
      <c r="A856" s="75"/>
      <c r="B856" s="49"/>
      <c r="C856" s="49"/>
      <c r="D856" s="49"/>
      <c r="E856" s="76"/>
      <c r="F856" s="77"/>
      <c r="I856" s="76"/>
      <c r="M856" s="76"/>
      <c r="N856" s="77"/>
      <c r="Q856" s="76"/>
    </row>
    <row r="857">
      <c r="A857" s="75"/>
      <c r="B857" s="49"/>
      <c r="C857" s="49"/>
      <c r="D857" s="49"/>
      <c r="E857" s="76"/>
      <c r="F857" s="77"/>
      <c r="I857" s="76"/>
      <c r="M857" s="76"/>
      <c r="N857" s="77"/>
      <c r="Q857" s="76"/>
    </row>
    <row r="858">
      <c r="A858" s="75"/>
      <c r="B858" s="49"/>
      <c r="C858" s="49"/>
      <c r="D858" s="49"/>
      <c r="E858" s="76"/>
      <c r="F858" s="77"/>
      <c r="I858" s="76"/>
      <c r="M858" s="76"/>
      <c r="N858" s="77"/>
      <c r="Q858" s="76"/>
    </row>
    <row r="859">
      <c r="A859" s="75"/>
      <c r="B859" s="49"/>
      <c r="C859" s="49"/>
      <c r="D859" s="49"/>
      <c r="E859" s="76"/>
      <c r="F859" s="77"/>
      <c r="I859" s="76"/>
      <c r="M859" s="76"/>
      <c r="N859" s="77"/>
      <c r="Q859" s="76"/>
    </row>
    <row r="860">
      <c r="A860" s="75"/>
      <c r="B860" s="49"/>
      <c r="C860" s="49"/>
      <c r="D860" s="49"/>
      <c r="E860" s="76"/>
      <c r="F860" s="77"/>
      <c r="I860" s="76"/>
      <c r="M860" s="76"/>
      <c r="N860" s="77"/>
      <c r="Q860" s="76"/>
    </row>
    <row r="861">
      <c r="A861" s="75"/>
      <c r="B861" s="49"/>
      <c r="C861" s="49"/>
      <c r="D861" s="49"/>
      <c r="E861" s="76"/>
      <c r="F861" s="77"/>
      <c r="I861" s="76"/>
      <c r="M861" s="76"/>
      <c r="N861" s="77"/>
      <c r="Q861" s="76"/>
    </row>
    <row r="862">
      <c r="A862" s="75"/>
      <c r="B862" s="49"/>
      <c r="C862" s="49"/>
      <c r="D862" s="49"/>
      <c r="E862" s="76"/>
      <c r="F862" s="77"/>
      <c r="I862" s="76"/>
      <c r="M862" s="76"/>
      <c r="N862" s="77"/>
      <c r="Q862" s="76"/>
    </row>
    <row r="863">
      <c r="A863" s="75"/>
      <c r="B863" s="49"/>
      <c r="C863" s="49"/>
      <c r="D863" s="49"/>
      <c r="E863" s="76"/>
      <c r="F863" s="77"/>
      <c r="I863" s="76"/>
      <c r="M863" s="76"/>
      <c r="N863" s="77"/>
      <c r="Q863" s="76"/>
    </row>
    <row r="864">
      <c r="A864" s="75"/>
      <c r="B864" s="49"/>
      <c r="C864" s="49"/>
      <c r="D864" s="49"/>
      <c r="E864" s="76"/>
      <c r="F864" s="77"/>
      <c r="I864" s="76"/>
      <c r="M864" s="76"/>
      <c r="N864" s="77"/>
      <c r="Q864" s="76"/>
    </row>
    <row r="865">
      <c r="A865" s="75"/>
      <c r="B865" s="49"/>
      <c r="C865" s="49"/>
      <c r="D865" s="49"/>
      <c r="E865" s="76"/>
      <c r="F865" s="77"/>
      <c r="I865" s="76"/>
      <c r="M865" s="76"/>
      <c r="N865" s="77"/>
      <c r="Q865" s="76"/>
    </row>
    <row r="866">
      <c r="A866" s="75"/>
      <c r="B866" s="49"/>
      <c r="C866" s="49"/>
      <c r="D866" s="49"/>
      <c r="E866" s="76"/>
      <c r="F866" s="77"/>
      <c r="I866" s="76"/>
      <c r="M866" s="76"/>
      <c r="N866" s="77"/>
      <c r="Q866" s="76"/>
    </row>
    <row r="867">
      <c r="A867" s="75"/>
      <c r="B867" s="49"/>
      <c r="C867" s="49"/>
      <c r="D867" s="49"/>
      <c r="E867" s="76"/>
      <c r="F867" s="77"/>
      <c r="I867" s="76"/>
      <c r="M867" s="76"/>
      <c r="N867" s="77"/>
      <c r="Q867" s="76"/>
    </row>
    <row r="868">
      <c r="A868" s="75"/>
      <c r="B868" s="49"/>
      <c r="C868" s="49"/>
      <c r="D868" s="49"/>
      <c r="E868" s="76"/>
      <c r="F868" s="77"/>
      <c r="I868" s="76"/>
      <c r="M868" s="76"/>
      <c r="N868" s="77"/>
      <c r="Q868" s="76"/>
    </row>
    <row r="869">
      <c r="A869" s="75"/>
      <c r="B869" s="49"/>
      <c r="C869" s="49"/>
      <c r="D869" s="49"/>
      <c r="E869" s="76"/>
      <c r="F869" s="77"/>
      <c r="I869" s="76"/>
      <c r="M869" s="76"/>
      <c r="N869" s="77"/>
      <c r="Q869" s="76"/>
    </row>
    <row r="870">
      <c r="A870" s="75"/>
      <c r="B870" s="49"/>
      <c r="C870" s="49"/>
      <c r="D870" s="49"/>
      <c r="E870" s="76"/>
      <c r="F870" s="77"/>
      <c r="I870" s="76"/>
      <c r="M870" s="76"/>
      <c r="N870" s="77"/>
      <c r="Q870" s="76"/>
    </row>
    <row r="871">
      <c r="A871" s="75"/>
      <c r="B871" s="49"/>
      <c r="C871" s="49"/>
      <c r="D871" s="49"/>
      <c r="E871" s="76"/>
      <c r="F871" s="77"/>
      <c r="I871" s="76"/>
      <c r="M871" s="76"/>
      <c r="N871" s="77"/>
      <c r="Q871" s="76"/>
    </row>
    <row r="872">
      <c r="A872" s="75"/>
      <c r="B872" s="49"/>
      <c r="C872" s="49"/>
      <c r="D872" s="49"/>
      <c r="E872" s="76"/>
      <c r="F872" s="77"/>
      <c r="I872" s="76"/>
      <c r="M872" s="76"/>
      <c r="N872" s="77"/>
      <c r="Q872" s="76"/>
    </row>
    <row r="873">
      <c r="A873" s="75"/>
      <c r="B873" s="49"/>
      <c r="C873" s="49"/>
      <c r="D873" s="49"/>
      <c r="E873" s="76"/>
      <c r="F873" s="77"/>
      <c r="I873" s="76"/>
      <c r="M873" s="76"/>
      <c r="N873" s="77"/>
      <c r="Q873" s="76"/>
    </row>
    <row r="874">
      <c r="A874" s="75"/>
      <c r="B874" s="49"/>
      <c r="C874" s="49"/>
      <c r="D874" s="49"/>
      <c r="E874" s="76"/>
      <c r="F874" s="77"/>
      <c r="I874" s="76"/>
      <c r="M874" s="76"/>
      <c r="N874" s="77"/>
      <c r="Q874" s="76"/>
    </row>
    <row r="875">
      <c r="A875" s="75"/>
      <c r="B875" s="49"/>
      <c r="C875" s="49"/>
      <c r="D875" s="49"/>
      <c r="E875" s="76"/>
      <c r="F875" s="77"/>
      <c r="I875" s="76"/>
      <c r="M875" s="76"/>
      <c r="N875" s="77"/>
      <c r="Q875" s="76"/>
    </row>
    <row r="876">
      <c r="A876" s="75"/>
      <c r="B876" s="49"/>
      <c r="C876" s="49"/>
      <c r="D876" s="49"/>
      <c r="E876" s="76"/>
      <c r="F876" s="77"/>
      <c r="I876" s="76"/>
      <c r="M876" s="76"/>
      <c r="N876" s="77"/>
      <c r="Q876" s="76"/>
    </row>
    <row r="877">
      <c r="A877" s="75"/>
      <c r="B877" s="49"/>
      <c r="C877" s="49"/>
      <c r="D877" s="49"/>
      <c r="E877" s="76"/>
      <c r="F877" s="77"/>
      <c r="I877" s="76"/>
      <c r="M877" s="76"/>
      <c r="N877" s="77"/>
      <c r="Q877" s="76"/>
    </row>
    <row r="878">
      <c r="A878" s="75"/>
      <c r="B878" s="49"/>
      <c r="C878" s="49"/>
      <c r="D878" s="49"/>
      <c r="E878" s="76"/>
      <c r="F878" s="77"/>
      <c r="I878" s="76"/>
      <c r="M878" s="76"/>
      <c r="N878" s="77"/>
      <c r="Q878" s="76"/>
    </row>
    <row r="879">
      <c r="A879" s="75"/>
      <c r="B879" s="49"/>
      <c r="C879" s="49"/>
      <c r="D879" s="49"/>
      <c r="E879" s="76"/>
      <c r="F879" s="77"/>
      <c r="I879" s="76"/>
      <c r="M879" s="76"/>
      <c r="N879" s="77"/>
      <c r="Q879" s="76"/>
    </row>
    <row r="880">
      <c r="A880" s="75"/>
      <c r="B880" s="49"/>
      <c r="C880" s="49"/>
      <c r="D880" s="49"/>
      <c r="E880" s="76"/>
      <c r="F880" s="77"/>
      <c r="I880" s="76"/>
      <c r="M880" s="76"/>
      <c r="N880" s="77"/>
      <c r="Q880" s="76"/>
    </row>
    <row r="881">
      <c r="A881" s="75"/>
      <c r="B881" s="49"/>
      <c r="C881" s="49"/>
      <c r="D881" s="49"/>
      <c r="E881" s="76"/>
      <c r="F881" s="77"/>
      <c r="I881" s="76"/>
      <c r="M881" s="76"/>
      <c r="N881" s="77"/>
      <c r="Q881" s="76"/>
    </row>
    <row r="882">
      <c r="A882" s="75"/>
      <c r="B882" s="49"/>
      <c r="C882" s="49"/>
      <c r="D882" s="49"/>
      <c r="E882" s="76"/>
      <c r="F882" s="77"/>
      <c r="I882" s="76"/>
      <c r="M882" s="76"/>
      <c r="N882" s="77"/>
      <c r="Q882" s="76"/>
    </row>
    <row r="883">
      <c r="A883" s="75"/>
      <c r="B883" s="49"/>
      <c r="C883" s="49"/>
      <c r="D883" s="49"/>
      <c r="E883" s="76"/>
      <c r="F883" s="77"/>
      <c r="I883" s="76"/>
      <c r="M883" s="76"/>
      <c r="N883" s="77"/>
      <c r="Q883" s="76"/>
    </row>
    <row r="884">
      <c r="A884" s="75"/>
      <c r="B884" s="49"/>
      <c r="C884" s="49"/>
      <c r="D884" s="49"/>
      <c r="E884" s="76"/>
      <c r="F884" s="77"/>
      <c r="I884" s="76"/>
      <c r="M884" s="76"/>
      <c r="N884" s="77"/>
      <c r="Q884" s="76"/>
    </row>
    <row r="885">
      <c r="A885" s="75"/>
      <c r="B885" s="49"/>
      <c r="C885" s="49"/>
      <c r="D885" s="49"/>
      <c r="E885" s="76"/>
      <c r="F885" s="77"/>
      <c r="I885" s="76"/>
      <c r="M885" s="76"/>
      <c r="N885" s="77"/>
      <c r="Q885" s="76"/>
    </row>
    <row r="886">
      <c r="A886" s="75"/>
      <c r="B886" s="49"/>
      <c r="C886" s="49"/>
      <c r="D886" s="49"/>
      <c r="E886" s="76"/>
      <c r="F886" s="77"/>
      <c r="I886" s="76"/>
      <c r="M886" s="76"/>
      <c r="N886" s="77"/>
      <c r="Q886" s="76"/>
    </row>
    <row r="887">
      <c r="A887" s="75"/>
      <c r="B887" s="49"/>
      <c r="C887" s="49"/>
      <c r="D887" s="49"/>
      <c r="E887" s="76"/>
      <c r="F887" s="77"/>
      <c r="I887" s="76"/>
      <c r="M887" s="76"/>
      <c r="N887" s="77"/>
      <c r="Q887" s="76"/>
    </row>
    <row r="888">
      <c r="A888" s="75"/>
      <c r="B888" s="49"/>
      <c r="C888" s="49"/>
      <c r="D888" s="49"/>
      <c r="E888" s="76"/>
      <c r="F888" s="77"/>
      <c r="I888" s="76"/>
      <c r="M888" s="76"/>
      <c r="N888" s="77"/>
      <c r="Q888" s="76"/>
    </row>
    <row r="889">
      <c r="A889" s="75"/>
      <c r="B889" s="49"/>
      <c r="C889" s="49"/>
      <c r="D889" s="49"/>
      <c r="E889" s="76"/>
      <c r="F889" s="77"/>
      <c r="I889" s="76"/>
      <c r="M889" s="76"/>
      <c r="N889" s="77"/>
      <c r="Q889" s="76"/>
    </row>
    <row r="890">
      <c r="A890" s="75"/>
      <c r="B890" s="49"/>
      <c r="C890" s="49"/>
      <c r="D890" s="49"/>
      <c r="E890" s="76"/>
      <c r="F890" s="77"/>
      <c r="I890" s="76"/>
      <c r="M890" s="76"/>
      <c r="N890" s="77"/>
      <c r="Q890" s="76"/>
    </row>
    <row r="891">
      <c r="A891" s="75"/>
      <c r="B891" s="49"/>
      <c r="C891" s="49"/>
      <c r="D891" s="49"/>
      <c r="E891" s="76"/>
      <c r="F891" s="77"/>
      <c r="I891" s="76"/>
      <c r="M891" s="76"/>
      <c r="N891" s="77"/>
      <c r="Q891" s="76"/>
    </row>
    <row r="892">
      <c r="A892" s="75"/>
      <c r="B892" s="49"/>
      <c r="C892" s="49"/>
      <c r="D892" s="49"/>
      <c r="E892" s="76"/>
      <c r="F892" s="77"/>
      <c r="I892" s="76"/>
      <c r="M892" s="76"/>
      <c r="N892" s="77"/>
      <c r="Q892" s="76"/>
    </row>
    <row r="893">
      <c r="A893" s="75"/>
      <c r="B893" s="49"/>
      <c r="C893" s="49"/>
      <c r="D893" s="49"/>
      <c r="E893" s="76"/>
      <c r="F893" s="77"/>
      <c r="I893" s="76"/>
      <c r="M893" s="76"/>
      <c r="N893" s="77"/>
      <c r="Q893" s="76"/>
    </row>
    <row r="894">
      <c r="A894" s="75"/>
      <c r="B894" s="49"/>
      <c r="C894" s="49"/>
      <c r="D894" s="49"/>
      <c r="E894" s="76"/>
      <c r="F894" s="77"/>
      <c r="I894" s="76"/>
      <c r="M894" s="76"/>
      <c r="N894" s="77"/>
      <c r="Q894" s="76"/>
    </row>
    <row r="895">
      <c r="A895" s="75"/>
      <c r="B895" s="49"/>
      <c r="C895" s="49"/>
      <c r="D895" s="49"/>
      <c r="E895" s="76"/>
      <c r="F895" s="77"/>
      <c r="I895" s="76"/>
      <c r="M895" s="76"/>
      <c r="N895" s="77"/>
      <c r="Q895" s="76"/>
    </row>
    <row r="896">
      <c r="A896" s="75"/>
      <c r="B896" s="49"/>
      <c r="C896" s="49"/>
      <c r="D896" s="49"/>
      <c r="E896" s="76"/>
      <c r="F896" s="77"/>
      <c r="I896" s="76"/>
      <c r="M896" s="76"/>
      <c r="N896" s="77"/>
      <c r="Q896" s="76"/>
    </row>
    <row r="897">
      <c r="A897" s="75"/>
      <c r="B897" s="49"/>
      <c r="C897" s="49"/>
      <c r="D897" s="49"/>
      <c r="E897" s="76"/>
      <c r="F897" s="77"/>
      <c r="I897" s="76"/>
      <c r="M897" s="76"/>
      <c r="N897" s="77"/>
      <c r="Q897" s="76"/>
    </row>
    <row r="898">
      <c r="A898" s="75"/>
      <c r="B898" s="49"/>
      <c r="C898" s="49"/>
      <c r="D898" s="49"/>
      <c r="E898" s="76"/>
      <c r="F898" s="77"/>
      <c r="I898" s="76"/>
      <c r="M898" s="76"/>
      <c r="N898" s="77"/>
      <c r="Q898" s="76"/>
    </row>
    <row r="899">
      <c r="A899" s="75"/>
      <c r="B899" s="49"/>
      <c r="C899" s="49"/>
      <c r="D899" s="49"/>
      <c r="E899" s="76"/>
      <c r="F899" s="77"/>
      <c r="I899" s="76"/>
      <c r="M899" s="76"/>
      <c r="N899" s="77"/>
      <c r="Q899" s="76"/>
    </row>
    <row r="900">
      <c r="A900" s="75"/>
      <c r="B900" s="49"/>
      <c r="C900" s="49"/>
      <c r="D900" s="49"/>
      <c r="E900" s="76"/>
      <c r="F900" s="77"/>
      <c r="I900" s="76"/>
      <c r="M900" s="76"/>
      <c r="N900" s="77"/>
      <c r="Q900" s="76"/>
    </row>
    <row r="901">
      <c r="A901" s="75"/>
      <c r="B901" s="49"/>
      <c r="C901" s="49"/>
      <c r="D901" s="49"/>
      <c r="E901" s="76"/>
      <c r="F901" s="77"/>
      <c r="I901" s="76"/>
      <c r="M901" s="76"/>
      <c r="N901" s="77"/>
      <c r="Q901" s="76"/>
    </row>
    <row r="902">
      <c r="A902" s="75"/>
      <c r="B902" s="49"/>
      <c r="C902" s="49"/>
      <c r="D902" s="49"/>
      <c r="E902" s="76"/>
      <c r="F902" s="77"/>
      <c r="I902" s="76"/>
      <c r="M902" s="76"/>
      <c r="N902" s="77"/>
      <c r="Q902" s="76"/>
    </row>
    <row r="903">
      <c r="A903" s="75"/>
      <c r="B903" s="49"/>
      <c r="C903" s="49"/>
      <c r="D903" s="49"/>
      <c r="E903" s="76"/>
      <c r="F903" s="77"/>
      <c r="I903" s="76"/>
      <c r="M903" s="76"/>
      <c r="N903" s="77"/>
      <c r="Q903" s="76"/>
    </row>
    <row r="904">
      <c r="A904" s="75"/>
      <c r="B904" s="49"/>
      <c r="C904" s="49"/>
      <c r="D904" s="49"/>
      <c r="E904" s="76"/>
      <c r="F904" s="77"/>
      <c r="I904" s="76"/>
      <c r="M904" s="76"/>
      <c r="N904" s="77"/>
      <c r="Q904" s="76"/>
    </row>
    <row r="905">
      <c r="A905" s="75"/>
      <c r="B905" s="49"/>
      <c r="C905" s="49"/>
      <c r="D905" s="49"/>
      <c r="E905" s="76"/>
      <c r="F905" s="77"/>
      <c r="I905" s="76"/>
      <c r="M905" s="76"/>
      <c r="N905" s="77"/>
      <c r="Q905" s="76"/>
    </row>
    <row r="906">
      <c r="A906" s="75"/>
      <c r="B906" s="49"/>
      <c r="C906" s="49"/>
      <c r="D906" s="49"/>
      <c r="E906" s="76"/>
      <c r="F906" s="77"/>
      <c r="I906" s="76"/>
      <c r="M906" s="76"/>
      <c r="N906" s="77"/>
      <c r="Q906" s="76"/>
    </row>
    <row r="907">
      <c r="A907" s="75"/>
      <c r="B907" s="49"/>
      <c r="C907" s="49"/>
      <c r="D907" s="49"/>
      <c r="E907" s="76"/>
      <c r="F907" s="77"/>
      <c r="I907" s="76"/>
      <c r="M907" s="76"/>
      <c r="N907" s="77"/>
      <c r="Q907" s="76"/>
    </row>
    <row r="908">
      <c r="A908" s="75"/>
      <c r="B908" s="49"/>
      <c r="C908" s="49"/>
      <c r="D908" s="49"/>
      <c r="E908" s="76"/>
      <c r="F908" s="77"/>
      <c r="I908" s="76"/>
      <c r="M908" s="76"/>
      <c r="N908" s="77"/>
      <c r="Q908" s="76"/>
    </row>
    <row r="909">
      <c r="A909" s="75"/>
      <c r="B909" s="49"/>
      <c r="C909" s="49"/>
      <c r="D909" s="49"/>
      <c r="E909" s="76"/>
      <c r="F909" s="77"/>
      <c r="I909" s="76"/>
      <c r="M909" s="76"/>
      <c r="N909" s="77"/>
      <c r="Q909" s="76"/>
    </row>
    <row r="910">
      <c r="A910" s="75"/>
      <c r="B910" s="49"/>
      <c r="C910" s="49"/>
      <c r="D910" s="49"/>
      <c r="E910" s="76"/>
      <c r="F910" s="77"/>
      <c r="I910" s="76"/>
      <c r="M910" s="76"/>
      <c r="N910" s="77"/>
      <c r="Q910" s="76"/>
    </row>
    <row r="911">
      <c r="A911" s="75"/>
      <c r="B911" s="49"/>
      <c r="C911" s="49"/>
      <c r="D911" s="49"/>
      <c r="E911" s="76"/>
      <c r="F911" s="77"/>
      <c r="I911" s="76"/>
      <c r="M911" s="76"/>
      <c r="N911" s="77"/>
      <c r="Q911" s="76"/>
    </row>
    <row r="912">
      <c r="A912" s="75"/>
      <c r="B912" s="49"/>
      <c r="C912" s="49"/>
      <c r="D912" s="49"/>
      <c r="E912" s="76"/>
      <c r="F912" s="77"/>
      <c r="I912" s="76"/>
      <c r="M912" s="76"/>
      <c r="N912" s="77"/>
      <c r="Q912" s="76"/>
    </row>
    <row r="913">
      <c r="A913" s="75"/>
      <c r="B913" s="49"/>
      <c r="C913" s="49"/>
      <c r="D913" s="49"/>
      <c r="E913" s="76"/>
      <c r="F913" s="77"/>
      <c r="I913" s="76"/>
      <c r="M913" s="76"/>
      <c r="N913" s="77"/>
      <c r="Q913" s="76"/>
    </row>
    <row r="914">
      <c r="A914" s="75"/>
      <c r="B914" s="49"/>
      <c r="C914" s="49"/>
      <c r="D914" s="49"/>
      <c r="E914" s="76"/>
      <c r="F914" s="77"/>
      <c r="I914" s="76"/>
      <c r="M914" s="76"/>
      <c r="N914" s="77"/>
      <c r="Q914" s="76"/>
    </row>
    <row r="915">
      <c r="A915" s="75"/>
      <c r="B915" s="49"/>
      <c r="C915" s="49"/>
      <c r="D915" s="49"/>
      <c r="E915" s="76"/>
      <c r="F915" s="77"/>
      <c r="I915" s="76"/>
      <c r="M915" s="76"/>
      <c r="N915" s="77"/>
      <c r="Q915" s="76"/>
    </row>
    <row r="916">
      <c r="A916" s="75"/>
      <c r="B916" s="49"/>
      <c r="C916" s="49"/>
      <c r="D916" s="49"/>
      <c r="E916" s="76"/>
      <c r="F916" s="77"/>
      <c r="I916" s="76"/>
      <c r="M916" s="76"/>
      <c r="N916" s="77"/>
      <c r="Q916" s="76"/>
    </row>
    <row r="917">
      <c r="A917" s="75"/>
      <c r="B917" s="49"/>
      <c r="C917" s="49"/>
      <c r="D917" s="49"/>
      <c r="E917" s="76"/>
      <c r="F917" s="77"/>
      <c r="I917" s="76"/>
      <c r="M917" s="76"/>
      <c r="N917" s="77"/>
      <c r="Q917" s="76"/>
    </row>
    <row r="918">
      <c r="A918" s="75"/>
      <c r="B918" s="49"/>
      <c r="C918" s="49"/>
      <c r="D918" s="49"/>
      <c r="E918" s="76"/>
      <c r="F918" s="77"/>
      <c r="I918" s="76"/>
      <c r="M918" s="76"/>
      <c r="N918" s="77"/>
      <c r="Q918" s="76"/>
    </row>
    <row r="919">
      <c r="A919" s="75"/>
      <c r="B919" s="49"/>
      <c r="C919" s="49"/>
      <c r="D919" s="49"/>
      <c r="E919" s="76"/>
      <c r="F919" s="77"/>
      <c r="I919" s="76"/>
      <c r="M919" s="76"/>
      <c r="N919" s="77"/>
      <c r="Q919" s="76"/>
    </row>
    <row r="920">
      <c r="A920" s="75"/>
      <c r="B920" s="49"/>
      <c r="C920" s="49"/>
      <c r="D920" s="49"/>
      <c r="E920" s="76"/>
      <c r="F920" s="77"/>
      <c r="I920" s="76"/>
      <c r="M920" s="76"/>
      <c r="N920" s="77"/>
      <c r="Q920" s="76"/>
    </row>
    <row r="921">
      <c r="A921" s="75"/>
      <c r="B921" s="49"/>
      <c r="C921" s="49"/>
      <c r="D921" s="49"/>
      <c r="E921" s="76"/>
      <c r="F921" s="77"/>
      <c r="I921" s="76"/>
      <c r="M921" s="76"/>
      <c r="N921" s="77"/>
      <c r="Q921" s="76"/>
    </row>
    <row r="922">
      <c r="A922" s="75"/>
      <c r="B922" s="49"/>
      <c r="C922" s="49"/>
      <c r="D922" s="49"/>
      <c r="E922" s="76"/>
      <c r="F922" s="77"/>
      <c r="I922" s="76"/>
      <c r="M922" s="76"/>
      <c r="N922" s="77"/>
      <c r="Q922" s="76"/>
    </row>
    <row r="923">
      <c r="A923" s="75"/>
      <c r="B923" s="49"/>
      <c r="C923" s="49"/>
      <c r="D923" s="49"/>
      <c r="E923" s="76"/>
      <c r="F923" s="77"/>
      <c r="I923" s="76"/>
      <c r="M923" s="76"/>
      <c r="N923" s="77"/>
      <c r="Q923" s="76"/>
    </row>
    <row r="924">
      <c r="A924" s="75"/>
      <c r="B924" s="49"/>
      <c r="C924" s="49"/>
      <c r="D924" s="49"/>
      <c r="E924" s="76"/>
      <c r="F924" s="77"/>
      <c r="I924" s="76"/>
      <c r="M924" s="76"/>
      <c r="N924" s="77"/>
      <c r="Q924" s="76"/>
    </row>
    <row r="925">
      <c r="A925" s="75"/>
      <c r="B925" s="49"/>
      <c r="C925" s="49"/>
      <c r="D925" s="49"/>
      <c r="E925" s="76"/>
      <c r="F925" s="77"/>
      <c r="I925" s="76"/>
      <c r="M925" s="76"/>
      <c r="N925" s="77"/>
      <c r="Q925" s="76"/>
    </row>
    <row r="926">
      <c r="A926" s="75"/>
      <c r="B926" s="49"/>
      <c r="C926" s="49"/>
      <c r="D926" s="49"/>
      <c r="E926" s="76"/>
      <c r="F926" s="77"/>
      <c r="I926" s="76"/>
      <c r="M926" s="76"/>
      <c r="N926" s="77"/>
      <c r="Q926" s="76"/>
    </row>
    <row r="927">
      <c r="A927" s="75"/>
      <c r="B927" s="49"/>
      <c r="C927" s="49"/>
      <c r="D927" s="49"/>
      <c r="E927" s="76"/>
      <c r="F927" s="77"/>
      <c r="I927" s="76"/>
      <c r="M927" s="76"/>
      <c r="N927" s="77"/>
      <c r="Q927" s="76"/>
    </row>
    <row r="928">
      <c r="A928" s="75"/>
      <c r="B928" s="49"/>
      <c r="C928" s="49"/>
      <c r="D928" s="49"/>
      <c r="E928" s="76"/>
      <c r="F928" s="77"/>
      <c r="I928" s="76"/>
      <c r="M928" s="76"/>
      <c r="N928" s="77"/>
      <c r="Q928" s="76"/>
    </row>
    <row r="929">
      <c r="A929" s="75"/>
      <c r="B929" s="49"/>
      <c r="C929" s="49"/>
      <c r="D929" s="49"/>
      <c r="E929" s="76"/>
      <c r="F929" s="77"/>
      <c r="I929" s="76"/>
      <c r="M929" s="76"/>
      <c r="N929" s="77"/>
      <c r="Q929" s="76"/>
    </row>
    <row r="930">
      <c r="A930" s="75"/>
      <c r="B930" s="49"/>
      <c r="C930" s="49"/>
      <c r="D930" s="49"/>
      <c r="E930" s="76"/>
      <c r="F930" s="77"/>
      <c r="I930" s="76"/>
      <c r="M930" s="76"/>
      <c r="N930" s="77"/>
      <c r="Q930" s="76"/>
    </row>
    <row r="931">
      <c r="A931" s="75"/>
      <c r="B931" s="49"/>
      <c r="C931" s="49"/>
      <c r="D931" s="49"/>
      <c r="E931" s="76"/>
      <c r="F931" s="77"/>
      <c r="I931" s="76"/>
      <c r="M931" s="76"/>
      <c r="N931" s="77"/>
      <c r="Q931" s="76"/>
    </row>
    <row r="932">
      <c r="A932" s="75"/>
      <c r="B932" s="49"/>
      <c r="C932" s="49"/>
      <c r="D932" s="49"/>
      <c r="E932" s="76"/>
      <c r="F932" s="77"/>
      <c r="I932" s="76"/>
      <c r="M932" s="76"/>
      <c r="N932" s="77"/>
      <c r="Q932" s="76"/>
    </row>
    <row r="933">
      <c r="A933" s="75"/>
      <c r="B933" s="49"/>
      <c r="C933" s="49"/>
      <c r="D933" s="49"/>
      <c r="E933" s="76"/>
      <c r="F933" s="77"/>
      <c r="I933" s="76"/>
      <c r="M933" s="76"/>
      <c r="N933" s="77"/>
      <c r="Q933" s="76"/>
    </row>
    <row r="934">
      <c r="A934" s="75"/>
      <c r="B934" s="49"/>
      <c r="C934" s="49"/>
      <c r="D934" s="49"/>
      <c r="E934" s="76"/>
      <c r="F934" s="77"/>
      <c r="I934" s="76"/>
      <c r="M934" s="76"/>
      <c r="N934" s="77"/>
      <c r="Q934" s="76"/>
    </row>
    <row r="935">
      <c r="A935" s="75"/>
      <c r="B935" s="49"/>
      <c r="C935" s="49"/>
      <c r="D935" s="49"/>
      <c r="E935" s="76"/>
      <c r="F935" s="77"/>
      <c r="I935" s="76"/>
      <c r="M935" s="76"/>
      <c r="N935" s="77"/>
      <c r="Q935" s="76"/>
    </row>
    <row r="936">
      <c r="A936" s="75"/>
      <c r="B936" s="49"/>
      <c r="C936" s="49"/>
      <c r="D936" s="49"/>
      <c r="E936" s="76"/>
      <c r="F936" s="77"/>
      <c r="I936" s="76"/>
      <c r="M936" s="76"/>
      <c r="N936" s="77"/>
      <c r="Q936" s="76"/>
    </row>
    <row r="937">
      <c r="A937" s="75"/>
      <c r="B937" s="49"/>
      <c r="C937" s="49"/>
      <c r="D937" s="49"/>
      <c r="E937" s="76"/>
      <c r="F937" s="77"/>
      <c r="I937" s="76"/>
      <c r="M937" s="76"/>
      <c r="N937" s="77"/>
      <c r="Q937" s="76"/>
    </row>
    <row r="938">
      <c r="A938" s="75"/>
      <c r="B938" s="49"/>
      <c r="C938" s="49"/>
      <c r="D938" s="49"/>
      <c r="E938" s="76"/>
      <c r="F938" s="77"/>
      <c r="I938" s="76"/>
      <c r="M938" s="76"/>
      <c r="N938" s="77"/>
      <c r="Q938" s="76"/>
    </row>
    <row r="939">
      <c r="A939" s="75"/>
      <c r="B939" s="49"/>
      <c r="C939" s="49"/>
      <c r="D939" s="49"/>
      <c r="E939" s="76"/>
      <c r="F939" s="77"/>
      <c r="I939" s="76"/>
      <c r="M939" s="76"/>
      <c r="N939" s="77"/>
      <c r="Q939" s="76"/>
    </row>
    <row r="940">
      <c r="A940" s="75"/>
      <c r="B940" s="49"/>
      <c r="C940" s="49"/>
      <c r="D940" s="49"/>
      <c r="E940" s="76"/>
      <c r="F940" s="77"/>
      <c r="I940" s="76"/>
      <c r="M940" s="76"/>
      <c r="N940" s="77"/>
      <c r="Q940" s="76"/>
    </row>
    <row r="941">
      <c r="A941" s="75"/>
      <c r="B941" s="49"/>
      <c r="C941" s="49"/>
      <c r="D941" s="49"/>
      <c r="E941" s="76"/>
      <c r="F941" s="77"/>
      <c r="I941" s="76"/>
      <c r="M941" s="76"/>
      <c r="N941" s="77"/>
      <c r="Q941" s="76"/>
    </row>
    <row r="942">
      <c r="A942" s="75"/>
      <c r="B942" s="49"/>
      <c r="C942" s="49"/>
      <c r="D942" s="49"/>
      <c r="E942" s="76"/>
      <c r="F942" s="77"/>
      <c r="I942" s="76"/>
      <c r="M942" s="76"/>
      <c r="N942" s="77"/>
      <c r="Q942" s="76"/>
    </row>
    <row r="943">
      <c r="A943" s="75"/>
      <c r="B943" s="49"/>
      <c r="C943" s="49"/>
      <c r="D943" s="49"/>
      <c r="E943" s="76"/>
      <c r="F943" s="77"/>
      <c r="I943" s="76"/>
      <c r="M943" s="76"/>
      <c r="N943" s="77"/>
      <c r="Q943" s="76"/>
    </row>
    <row r="944">
      <c r="A944" s="75"/>
      <c r="B944" s="49"/>
      <c r="C944" s="49"/>
      <c r="D944" s="49"/>
      <c r="E944" s="76"/>
      <c r="F944" s="77"/>
      <c r="I944" s="76"/>
      <c r="M944" s="76"/>
      <c r="N944" s="77"/>
      <c r="Q944" s="76"/>
    </row>
    <row r="945">
      <c r="A945" s="75"/>
      <c r="B945" s="49"/>
      <c r="C945" s="49"/>
      <c r="D945" s="49"/>
      <c r="E945" s="76"/>
      <c r="F945" s="77"/>
      <c r="I945" s="76"/>
      <c r="M945" s="76"/>
      <c r="N945" s="77"/>
      <c r="Q945" s="76"/>
    </row>
    <row r="946">
      <c r="A946" s="75"/>
      <c r="B946" s="49"/>
      <c r="C946" s="49"/>
      <c r="D946" s="49"/>
      <c r="E946" s="76"/>
      <c r="F946" s="77"/>
      <c r="I946" s="76"/>
      <c r="M946" s="76"/>
      <c r="N946" s="77"/>
      <c r="Q946" s="76"/>
    </row>
    <row r="947">
      <c r="A947" s="75"/>
      <c r="B947" s="49"/>
      <c r="C947" s="49"/>
      <c r="D947" s="49"/>
      <c r="E947" s="76"/>
      <c r="F947" s="77"/>
      <c r="I947" s="76"/>
      <c r="M947" s="76"/>
      <c r="N947" s="77"/>
      <c r="Q947" s="76"/>
    </row>
    <row r="948">
      <c r="A948" s="75"/>
      <c r="B948" s="49"/>
      <c r="C948" s="49"/>
      <c r="D948" s="49"/>
      <c r="E948" s="76"/>
      <c r="F948" s="77"/>
      <c r="I948" s="76"/>
      <c r="M948" s="76"/>
      <c r="N948" s="77"/>
      <c r="Q948" s="76"/>
    </row>
    <row r="949">
      <c r="A949" s="75"/>
      <c r="B949" s="49"/>
      <c r="C949" s="49"/>
      <c r="D949" s="49"/>
      <c r="E949" s="76"/>
      <c r="F949" s="77"/>
      <c r="I949" s="76"/>
      <c r="M949" s="76"/>
      <c r="N949" s="77"/>
      <c r="Q949" s="76"/>
    </row>
    <row r="950">
      <c r="A950" s="75"/>
      <c r="B950" s="49"/>
      <c r="C950" s="49"/>
      <c r="D950" s="49"/>
      <c r="E950" s="76"/>
      <c r="F950" s="77"/>
      <c r="I950" s="76"/>
      <c r="M950" s="76"/>
      <c r="N950" s="77"/>
      <c r="Q950" s="76"/>
    </row>
    <row r="951">
      <c r="A951" s="75"/>
      <c r="B951" s="49"/>
      <c r="C951" s="49"/>
      <c r="D951" s="49"/>
      <c r="E951" s="76"/>
      <c r="F951" s="77"/>
      <c r="I951" s="76"/>
      <c r="M951" s="76"/>
      <c r="N951" s="77"/>
      <c r="Q951" s="76"/>
    </row>
    <row r="952">
      <c r="A952" s="75"/>
      <c r="B952" s="49"/>
      <c r="C952" s="49"/>
      <c r="D952" s="49"/>
      <c r="E952" s="76"/>
      <c r="F952" s="77"/>
      <c r="I952" s="76"/>
      <c r="M952" s="76"/>
      <c r="N952" s="77"/>
      <c r="Q952" s="76"/>
    </row>
    <row r="953">
      <c r="A953" s="75"/>
      <c r="B953" s="49"/>
      <c r="C953" s="49"/>
      <c r="D953" s="49"/>
      <c r="E953" s="76"/>
      <c r="F953" s="77"/>
      <c r="I953" s="76"/>
      <c r="M953" s="76"/>
      <c r="N953" s="77"/>
      <c r="Q953" s="76"/>
    </row>
    <row r="954">
      <c r="A954" s="75"/>
      <c r="B954" s="49"/>
      <c r="C954" s="49"/>
      <c r="D954" s="49"/>
      <c r="E954" s="76"/>
      <c r="F954" s="77"/>
      <c r="I954" s="76"/>
      <c r="M954" s="76"/>
      <c r="N954" s="77"/>
      <c r="Q954" s="76"/>
    </row>
    <row r="955">
      <c r="A955" s="75"/>
      <c r="B955" s="49"/>
      <c r="C955" s="49"/>
      <c r="D955" s="49"/>
      <c r="E955" s="76"/>
      <c r="F955" s="77"/>
      <c r="I955" s="76"/>
      <c r="M955" s="76"/>
      <c r="N955" s="77"/>
      <c r="Q955" s="76"/>
    </row>
    <row r="956">
      <c r="A956" s="75"/>
      <c r="B956" s="49"/>
      <c r="C956" s="49"/>
      <c r="D956" s="49"/>
      <c r="E956" s="76"/>
      <c r="F956" s="77"/>
      <c r="I956" s="76"/>
      <c r="M956" s="76"/>
      <c r="N956" s="77"/>
      <c r="Q956" s="76"/>
    </row>
    <row r="957">
      <c r="A957" s="75"/>
      <c r="B957" s="49"/>
      <c r="C957" s="49"/>
      <c r="D957" s="49"/>
      <c r="E957" s="76"/>
      <c r="F957" s="77"/>
      <c r="I957" s="76"/>
      <c r="M957" s="76"/>
      <c r="N957" s="77"/>
      <c r="Q957" s="76"/>
    </row>
    <row r="958">
      <c r="A958" s="75"/>
      <c r="B958" s="49"/>
      <c r="C958" s="49"/>
      <c r="D958" s="49"/>
      <c r="E958" s="76"/>
      <c r="F958" s="77"/>
      <c r="I958" s="76"/>
      <c r="M958" s="76"/>
      <c r="N958" s="77"/>
      <c r="Q958" s="76"/>
    </row>
    <row r="959">
      <c r="A959" s="75"/>
      <c r="B959" s="49"/>
      <c r="C959" s="49"/>
      <c r="D959" s="49"/>
      <c r="E959" s="76"/>
      <c r="F959" s="77"/>
      <c r="I959" s="76"/>
      <c r="M959" s="76"/>
      <c r="N959" s="77"/>
      <c r="Q959" s="76"/>
    </row>
    <row r="960">
      <c r="A960" s="75"/>
      <c r="B960" s="49"/>
      <c r="C960" s="49"/>
      <c r="D960" s="49"/>
      <c r="E960" s="76"/>
      <c r="F960" s="77"/>
      <c r="I960" s="76"/>
      <c r="M960" s="76"/>
      <c r="N960" s="77"/>
      <c r="Q960" s="76"/>
    </row>
    <row r="961">
      <c r="A961" s="75"/>
      <c r="B961" s="49"/>
      <c r="C961" s="49"/>
      <c r="D961" s="49"/>
      <c r="E961" s="76"/>
      <c r="F961" s="77"/>
      <c r="I961" s="76"/>
      <c r="M961" s="76"/>
      <c r="N961" s="77"/>
      <c r="Q961" s="76"/>
    </row>
    <row r="962">
      <c r="A962" s="75"/>
      <c r="B962" s="49"/>
      <c r="C962" s="49"/>
      <c r="D962" s="49"/>
      <c r="E962" s="76"/>
      <c r="F962" s="77"/>
      <c r="I962" s="76"/>
      <c r="M962" s="76"/>
      <c r="N962" s="77"/>
      <c r="Q962" s="76"/>
    </row>
    <row r="963">
      <c r="A963" s="75"/>
      <c r="B963" s="49"/>
      <c r="C963" s="49"/>
      <c r="D963" s="49"/>
      <c r="E963" s="76"/>
      <c r="F963" s="77"/>
      <c r="I963" s="76"/>
      <c r="M963" s="76"/>
      <c r="N963" s="77"/>
      <c r="Q963" s="76"/>
    </row>
    <row r="964">
      <c r="A964" s="75"/>
      <c r="B964" s="49"/>
      <c r="C964" s="49"/>
      <c r="D964" s="49"/>
      <c r="E964" s="76"/>
      <c r="F964" s="77"/>
      <c r="I964" s="76"/>
      <c r="M964" s="76"/>
      <c r="N964" s="77"/>
      <c r="Q964" s="76"/>
    </row>
    <row r="965">
      <c r="A965" s="75"/>
      <c r="B965" s="49"/>
      <c r="C965" s="49"/>
      <c r="D965" s="49"/>
      <c r="E965" s="76"/>
      <c r="F965" s="77"/>
      <c r="I965" s="76"/>
      <c r="M965" s="76"/>
      <c r="N965" s="77"/>
      <c r="Q965" s="76"/>
    </row>
    <row r="966">
      <c r="A966" s="75"/>
      <c r="B966" s="49"/>
      <c r="C966" s="49"/>
      <c r="D966" s="49"/>
      <c r="E966" s="76"/>
      <c r="F966" s="77"/>
      <c r="I966" s="76"/>
      <c r="M966" s="76"/>
      <c r="N966" s="77"/>
      <c r="Q966" s="76"/>
    </row>
    <row r="967">
      <c r="A967" s="75"/>
      <c r="B967" s="49"/>
      <c r="C967" s="49"/>
      <c r="D967" s="49"/>
      <c r="E967" s="76"/>
      <c r="F967" s="77"/>
      <c r="I967" s="76"/>
      <c r="M967" s="76"/>
      <c r="N967" s="77"/>
      <c r="Q967" s="76"/>
    </row>
    <row r="968">
      <c r="A968" s="75"/>
      <c r="B968" s="49"/>
      <c r="C968" s="49"/>
      <c r="D968" s="49"/>
      <c r="E968" s="76"/>
      <c r="F968" s="77"/>
      <c r="I968" s="76"/>
      <c r="M968" s="76"/>
      <c r="N968" s="77"/>
      <c r="Q968" s="76"/>
    </row>
    <row r="969">
      <c r="A969" s="75"/>
      <c r="B969" s="49"/>
      <c r="C969" s="49"/>
      <c r="D969" s="49"/>
      <c r="E969" s="76"/>
      <c r="F969" s="77"/>
      <c r="I969" s="76"/>
      <c r="M969" s="76"/>
      <c r="N969" s="77"/>
      <c r="Q969" s="76"/>
    </row>
    <row r="970">
      <c r="A970" s="75"/>
      <c r="B970" s="49"/>
      <c r="C970" s="49"/>
      <c r="D970" s="49"/>
      <c r="E970" s="76"/>
      <c r="F970" s="77"/>
      <c r="I970" s="76"/>
      <c r="M970" s="76"/>
      <c r="N970" s="77"/>
      <c r="Q970" s="76"/>
    </row>
    <row r="971">
      <c r="A971" s="75"/>
      <c r="B971" s="49"/>
      <c r="C971" s="49"/>
      <c r="D971" s="49"/>
      <c r="E971" s="76"/>
      <c r="F971" s="77"/>
      <c r="I971" s="76"/>
      <c r="M971" s="76"/>
      <c r="N971" s="77"/>
      <c r="Q971" s="76"/>
    </row>
    <row r="972">
      <c r="A972" s="75"/>
      <c r="B972" s="49"/>
      <c r="C972" s="49"/>
      <c r="D972" s="49"/>
      <c r="E972" s="76"/>
      <c r="F972" s="77"/>
      <c r="I972" s="76"/>
      <c r="M972" s="76"/>
      <c r="N972" s="77"/>
      <c r="Q972" s="76"/>
    </row>
    <row r="973">
      <c r="A973" s="75"/>
      <c r="B973" s="49"/>
      <c r="C973" s="49"/>
      <c r="D973" s="49"/>
      <c r="E973" s="76"/>
      <c r="F973" s="77"/>
      <c r="I973" s="76"/>
      <c r="M973" s="76"/>
      <c r="N973" s="77"/>
      <c r="Q973" s="76"/>
    </row>
    <row r="974">
      <c r="A974" s="75"/>
      <c r="B974" s="49"/>
      <c r="C974" s="49"/>
      <c r="D974" s="49"/>
      <c r="E974" s="76"/>
      <c r="F974" s="77"/>
      <c r="I974" s="76"/>
      <c r="M974" s="76"/>
      <c r="N974" s="77"/>
      <c r="Q974" s="76"/>
    </row>
    <row r="975">
      <c r="A975" s="75"/>
      <c r="B975" s="49"/>
      <c r="C975" s="49"/>
      <c r="D975" s="49"/>
      <c r="E975" s="76"/>
      <c r="F975" s="77"/>
      <c r="I975" s="76"/>
      <c r="M975" s="76"/>
      <c r="N975" s="77"/>
      <c r="Q975" s="76"/>
    </row>
    <row r="976">
      <c r="A976" s="75"/>
      <c r="B976" s="49"/>
      <c r="C976" s="49"/>
      <c r="D976" s="49"/>
      <c r="E976" s="76"/>
      <c r="F976" s="77"/>
      <c r="I976" s="76"/>
      <c r="M976" s="76"/>
      <c r="N976" s="77"/>
      <c r="Q976" s="76"/>
    </row>
    <row r="977">
      <c r="A977" s="75"/>
      <c r="B977" s="49"/>
      <c r="C977" s="49"/>
      <c r="D977" s="49"/>
      <c r="E977" s="76"/>
      <c r="F977" s="77"/>
      <c r="I977" s="76"/>
      <c r="M977" s="76"/>
      <c r="N977" s="77"/>
      <c r="Q977" s="76"/>
    </row>
    <row r="978">
      <c r="A978" s="75"/>
      <c r="B978" s="49"/>
      <c r="C978" s="49"/>
      <c r="D978" s="49"/>
      <c r="E978" s="76"/>
      <c r="F978" s="77"/>
      <c r="I978" s="76"/>
      <c r="M978" s="76"/>
      <c r="N978" s="77"/>
      <c r="Q978" s="76"/>
    </row>
    <row r="979">
      <c r="A979" s="75"/>
      <c r="B979" s="49"/>
      <c r="C979" s="49"/>
      <c r="D979" s="49"/>
      <c r="E979" s="76"/>
      <c r="F979" s="77"/>
      <c r="I979" s="76"/>
      <c r="M979" s="76"/>
      <c r="N979" s="77"/>
      <c r="Q979" s="76"/>
    </row>
    <row r="980">
      <c r="A980" s="75"/>
      <c r="B980" s="49"/>
      <c r="C980" s="49"/>
      <c r="D980" s="49"/>
      <c r="E980" s="76"/>
      <c r="F980" s="77"/>
      <c r="I980" s="76"/>
      <c r="M980" s="76"/>
      <c r="N980" s="77"/>
      <c r="Q980" s="76"/>
    </row>
    <row r="981">
      <c r="A981" s="75"/>
      <c r="B981" s="49"/>
      <c r="C981" s="49"/>
      <c r="D981" s="49"/>
      <c r="E981" s="76"/>
      <c r="F981" s="77"/>
      <c r="I981" s="76"/>
      <c r="M981" s="76"/>
      <c r="N981" s="77"/>
      <c r="Q981" s="76"/>
    </row>
    <row r="982">
      <c r="A982" s="75"/>
      <c r="B982" s="49"/>
      <c r="C982" s="49"/>
      <c r="D982" s="49"/>
      <c r="E982" s="76"/>
      <c r="F982" s="77"/>
      <c r="I982" s="76"/>
      <c r="M982" s="76"/>
      <c r="N982" s="77"/>
      <c r="Q982" s="76"/>
    </row>
    <row r="983">
      <c r="A983" s="75"/>
      <c r="B983" s="49"/>
      <c r="C983" s="49"/>
      <c r="D983" s="49"/>
      <c r="E983" s="76"/>
      <c r="F983" s="77"/>
      <c r="I983" s="76"/>
      <c r="M983" s="76"/>
      <c r="N983" s="77"/>
      <c r="Q983" s="76"/>
    </row>
    <row r="984">
      <c r="A984" s="75"/>
      <c r="B984" s="49"/>
      <c r="C984" s="49"/>
      <c r="D984" s="49"/>
      <c r="E984" s="76"/>
      <c r="F984" s="77"/>
      <c r="I984" s="76"/>
      <c r="M984" s="76"/>
      <c r="N984" s="77"/>
      <c r="Q984" s="76"/>
    </row>
    <row r="985">
      <c r="A985" s="75"/>
      <c r="B985" s="49"/>
      <c r="C985" s="49"/>
      <c r="D985" s="49"/>
      <c r="E985" s="76"/>
      <c r="F985" s="77"/>
      <c r="I985" s="76"/>
      <c r="M985" s="76"/>
      <c r="N985" s="77"/>
      <c r="Q985" s="76"/>
    </row>
    <row r="986">
      <c r="A986" s="75"/>
      <c r="B986" s="49"/>
      <c r="C986" s="49"/>
      <c r="D986" s="49"/>
      <c r="E986" s="76"/>
      <c r="F986" s="77"/>
      <c r="I986" s="76"/>
      <c r="M986" s="76"/>
      <c r="N986" s="77"/>
      <c r="Q986" s="76"/>
    </row>
    <row r="987">
      <c r="A987" s="75"/>
      <c r="B987" s="49"/>
      <c r="C987" s="49"/>
      <c r="D987" s="49"/>
      <c r="E987" s="76"/>
      <c r="F987" s="77"/>
      <c r="I987" s="76"/>
      <c r="M987" s="76"/>
      <c r="N987" s="77"/>
      <c r="Q987" s="76"/>
    </row>
    <row r="988">
      <c r="A988" s="75"/>
      <c r="B988" s="49"/>
      <c r="C988" s="49"/>
      <c r="D988" s="49"/>
      <c r="E988" s="76"/>
      <c r="F988" s="77"/>
      <c r="I988" s="76"/>
      <c r="M988" s="76"/>
      <c r="N988" s="77"/>
      <c r="Q988" s="76"/>
    </row>
    <row r="989">
      <c r="A989" s="75"/>
      <c r="B989" s="49"/>
      <c r="C989" s="49"/>
      <c r="D989" s="49"/>
      <c r="E989" s="76"/>
      <c r="F989" s="77"/>
      <c r="I989" s="76"/>
      <c r="M989" s="76"/>
      <c r="N989" s="77"/>
      <c r="Q989" s="76"/>
    </row>
    <row r="990">
      <c r="A990" s="75"/>
      <c r="B990" s="49"/>
      <c r="C990" s="49"/>
      <c r="D990" s="49"/>
      <c r="E990" s="76"/>
      <c r="F990" s="77"/>
      <c r="I990" s="76"/>
      <c r="M990" s="76"/>
      <c r="N990" s="77"/>
      <c r="Q990" s="76"/>
    </row>
    <row r="991">
      <c r="A991" s="75"/>
      <c r="B991" s="49"/>
      <c r="C991" s="49"/>
      <c r="D991" s="49"/>
      <c r="E991" s="76"/>
      <c r="F991" s="77"/>
      <c r="I991" s="76"/>
      <c r="M991" s="76"/>
      <c r="N991" s="77"/>
      <c r="Q991" s="76"/>
    </row>
    <row r="992">
      <c r="A992" s="75"/>
      <c r="B992" s="49"/>
      <c r="C992" s="49"/>
      <c r="D992" s="49"/>
      <c r="E992" s="76"/>
      <c r="F992" s="77"/>
      <c r="I992" s="76"/>
      <c r="M992" s="76"/>
      <c r="N992" s="77"/>
      <c r="Q992" s="76"/>
    </row>
    <row r="993">
      <c r="A993" s="75"/>
      <c r="B993" s="49"/>
      <c r="C993" s="49"/>
      <c r="D993" s="49"/>
      <c r="E993" s="76"/>
      <c r="F993" s="77"/>
      <c r="I993" s="76"/>
      <c r="M993" s="76"/>
      <c r="N993" s="77"/>
      <c r="Q993" s="76"/>
    </row>
    <row r="994">
      <c r="A994" s="75"/>
      <c r="B994" s="49"/>
      <c r="C994" s="49"/>
      <c r="D994" s="49"/>
      <c r="E994" s="76"/>
      <c r="F994" s="77"/>
      <c r="I994" s="76"/>
      <c r="M994" s="76"/>
      <c r="N994" s="77"/>
      <c r="Q994" s="76"/>
    </row>
    <row r="995">
      <c r="A995" s="75"/>
      <c r="B995" s="49"/>
      <c r="C995" s="49"/>
      <c r="D995" s="49"/>
      <c r="E995" s="76"/>
      <c r="F995" s="77"/>
      <c r="I995" s="76"/>
      <c r="M995" s="76"/>
      <c r="N995" s="77"/>
      <c r="Q995" s="76"/>
    </row>
    <row r="996">
      <c r="A996" s="75"/>
      <c r="B996" s="49"/>
      <c r="C996" s="49"/>
      <c r="D996" s="49"/>
      <c r="E996" s="76"/>
      <c r="F996" s="77"/>
      <c r="I996" s="76"/>
      <c r="M996" s="76"/>
      <c r="N996" s="77"/>
      <c r="Q996" s="76"/>
    </row>
    <row r="997">
      <c r="A997" s="78"/>
      <c r="B997" s="49"/>
      <c r="C997" s="49"/>
      <c r="D997" s="49"/>
      <c r="E997" s="76"/>
      <c r="F997" s="79"/>
      <c r="G997" s="80"/>
      <c r="H997" s="80"/>
      <c r="I997" s="81"/>
      <c r="M997" s="76"/>
      <c r="N997" s="79"/>
      <c r="O997" s="80"/>
      <c r="P997" s="80"/>
      <c r="Q997" s="81"/>
    </row>
  </sheetData>
  <dataValidations>
    <dataValidation type="custom" allowBlank="1" showDropDown="1" sqref="A2:A191">
      <formula1>OR(NOT(ISERROR(DATEVALUE(A2))), AND(ISNUMBER(A2), LEFT(CELL("format", A2))="D"))</formula1>
    </dataValidation>
    <dataValidation type="custom" allowBlank="1" showDropDown="1" sqref="B2:E191 I2:I191 M2:M191 Q2:Q19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75"/>
    <col customWidth="1" min="2" max="2" width="51.63"/>
    <col customWidth="1" min="4" max="4" width="19.75"/>
    <col customWidth="1" min="5" max="5" width="17.88"/>
    <col customWidth="1" min="7" max="7" width="13.75"/>
    <col customWidth="1" min="8" max="8" width="13.88"/>
    <col customWidth="1" min="12" max="12" width="16.63"/>
    <col customWidth="1" min="14" max="14" width="15.38"/>
  </cols>
  <sheetData>
    <row r="1" ht="22.5" customHeight="1">
      <c r="A1" s="2" t="s">
        <v>5</v>
      </c>
      <c r="B1" s="2" t="s">
        <v>6</v>
      </c>
      <c r="C1" s="2" t="s">
        <v>48</v>
      </c>
      <c r="D1" s="82" t="s">
        <v>7</v>
      </c>
      <c r="E1" s="83" t="s">
        <v>8</v>
      </c>
      <c r="F1" s="2" t="s">
        <v>3</v>
      </c>
      <c r="G1" s="2" t="s">
        <v>4</v>
      </c>
      <c r="H1" s="1" t="s">
        <v>9</v>
      </c>
      <c r="I1" s="1" t="s">
        <v>49</v>
      </c>
      <c r="J1" s="1" t="s">
        <v>50</v>
      </c>
      <c r="K1" s="2" t="s">
        <v>51</v>
      </c>
      <c r="L1" s="2" t="s">
        <v>52</v>
      </c>
      <c r="M1" s="5" t="s">
        <v>53</v>
      </c>
      <c r="N1" s="84" t="s">
        <v>54</v>
      </c>
      <c r="O1" s="85"/>
      <c r="P1" s="86"/>
      <c r="Q1" s="85"/>
      <c r="R1" s="86"/>
      <c r="S1" s="85"/>
      <c r="T1" s="87"/>
      <c r="U1" s="85"/>
      <c r="V1" s="86"/>
      <c r="W1" s="85"/>
      <c r="X1" s="87"/>
    </row>
    <row r="2" ht="22.5" customHeight="1">
      <c r="A2" s="88" t="s">
        <v>55</v>
      </c>
      <c r="B2" s="21" t="str">
        <f>IFERROR(__xludf.DUMMYFUNCTION("INDEX(IMPORTXML(""https://tw.stock.yahoo.com/quote/"" &amp; A2, ""//h1""), 2)"),"Tesla, Inc.")</f>
        <v>Tesla, Inc.</v>
      </c>
      <c r="C2" s="41">
        <f t="shared" ref="C2:C21" si="1">H2/E2</f>
        <v>292.3623959</v>
      </c>
      <c r="D2" s="89">
        <f t="shared" ref="D2:D21" si="2">getStockPrice(A2)</f>
        <v>403.99</v>
      </c>
      <c r="E2" s="90">
        <f>SUMIFS('美股購買'!E:E, '美股購買'!D:D, A2, '美股購買'!B:B, "買進")-SUMIFS('美股購買'!E:E, '美股購買'!D:D, A2, '美股購買'!B:B, "賣出")</f>
        <v>18.5</v>
      </c>
      <c r="F2" s="41">
        <f t="shared" ref="F2:F21" si="3">I2-H2</f>
        <v>2065.110675</v>
      </c>
      <c r="G2" s="47">
        <f t="shared" ref="G2:G21" si="4">F2/H2</f>
        <v>0.3818124547</v>
      </c>
      <c r="H2" s="91">
        <f>SUMIFS('美股購買'!$G:$G, '美股購買'!$D:$D, $A2, '美股購買'!B:B, "買進")-SUMIFS('美股購買'!$I:$I, '美股購買'!$D:$D, $A2, '美股購買'!B:B, "賣出")</f>
        <v>5408.704325</v>
      </c>
      <c r="I2" s="91">
        <f t="shared" ref="I2:I21" si="5">E2*D2</f>
        <v>7473.815</v>
      </c>
      <c r="J2" s="92">
        <f>SUMIFS('美股購買'!$H:$H, '美股購買'!$D:$D, $A2, '美股購買'!B:B, "買進")-SUMIFS('美股購買'!$J:J, '美股購買'!$D:$D, $A2, '美股購買'!B:B, "賣出")</f>
        <v>177553.773</v>
      </c>
      <c r="K2" s="41">
        <f>IFERROR(__xludf.DUMMYFUNCTION("IFERROR(GOOGLEFINANCE(A2, ""price"") - getYahooStockClose(A2), 0)"),2.740000000000009)</f>
        <v>2.74</v>
      </c>
      <c r="L2" s="14">
        <f t="shared" ref="L2:L21" si="6">iferror(K2/getYahooStockClose(A2), 0)</f>
        <v>0.006828660436</v>
      </c>
      <c r="M2" s="41">
        <f t="shared" ref="M2:M21" si="7">K2*E2</f>
        <v>50.69</v>
      </c>
      <c r="N2" s="93" t="s">
        <v>56</v>
      </c>
    </row>
    <row r="3" ht="22.5" customHeight="1">
      <c r="A3" s="88" t="s">
        <v>57</v>
      </c>
      <c r="B3" s="52" t="str">
        <f>IFERROR(__xludf.DUMMYFUNCTION("INDEX(IMPORTXML(""https://tw.stock.yahoo.com/quote/"" &amp; A3, ""//h1""), 2)"),"Direxion Daily TSLA Bull 2X Shares")</f>
        <v>Direxion Daily TSLA Bull 2X Shares</v>
      </c>
      <c r="C3" s="41">
        <f t="shared" si="1"/>
        <v>11.29254082</v>
      </c>
      <c r="D3" s="89">
        <f t="shared" si="2"/>
        <v>16.51</v>
      </c>
      <c r="E3" s="90">
        <f>SUMIFS('美股購買'!E:E, '美股購買'!D:D, A3, '美股購買'!B:B, "買進")-SUMIFS('美股購買'!E:E, '美股購買'!D:D, A3, '美股購買'!B:B, "賣出")</f>
        <v>98</v>
      </c>
      <c r="F3" s="41">
        <f t="shared" si="3"/>
        <v>511.311</v>
      </c>
      <c r="G3" s="47">
        <f t="shared" si="4"/>
        <v>0.4620270379</v>
      </c>
      <c r="H3" s="91">
        <f>SUMIFS('美股購買'!$G:$G, '美股購買'!$D:$D, $A3, '美股購買'!B:B, "買進")-SUMIFS('美股購買'!$I:$I, '美股購買'!$D:$D, $A3, '美股購買'!B:B, "賣出")</f>
        <v>1106.669</v>
      </c>
      <c r="I3" s="91">
        <f t="shared" si="5"/>
        <v>1617.98</v>
      </c>
      <c r="J3" s="94">
        <f>SUMIFS('美股購買'!$H:$H, '美股購買'!$D:$D, $A3, '美股購買'!B:B, "買進")-SUMIFS('美股購買'!$J:J, '美股購買'!$D:$D, $A3, '美股購買'!B:B, "賣出")</f>
        <v>36329.10983</v>
      </c>
      <c r="K3" s="41">
        <f>IFERROR(__xludf.DUMMYFUNCTION("IFERROR(GOOGLEFINANCE(A3, ""price"") - getYahooStockClose(A3), 0)"),0.2199990844726578)</f>
        <v>0.2199990845</v>
      </c>
      <c r="L3" s="47">
        <f t="shared" si="6"/>
        <v>0.01350516096</v>
      </c>
      <c r="M3" s="41">
        <f t="shared" si="7"/>
        <v>21.55991028</v>
      </c>
      <c r="N3" s="93" t="s">
        <v>56</v>
      </c>
    </row>
    <row r="4" ht="22.5" customHeight="1">
      <c r="A4" s="88" t="s">
        <v>58</v>
      </c>
      <c r="B4" s="21" t="str">
        <f>IFERROR(__xludf.DUMMYFUNCTION("INDEX(IMPORTXML(""https://tw.stock.yahoo.com/quote/"" &amp; A4, ""//h1""), 2)"),"Invesco QQQ Trust")</f>
        <v>Invesco QQQ Trust</v>
      </c>
      <c r="C4" s="41">
        <f t="shared" si="1"/>
        <v>520.0362573</v>
      </c>
      <c r="D4" s="89">
        <f t="shared" si="2"/>
        <v>599.87</v>
      </c>
      <c r="E4" s="90">
        <f>SUMIFS('美股購買'!E:E, '美股購買'!D:D, A4, '美股購買'!B:B, "買進")-SUMIFS('美股購買'!E:E, '美股購買'!D:D, A4, '美股購買'!B:B, "賣出")</f>
        <v>11.00795</v>
      </c>
      <c r="F4" s="41">
        <f t="shared" si="3"/>
        <v>878.8058479</v>
      </c>
      <c r="G4" s="47">
        <f t="shared" si="4"/>
        <v>0.1535157243</v>
      </c>
      <c r="H4" s="91">
        <f>SUMIFS('美股購買'!$G:$G, '美股購買'!$D:$D, $A4, '美股購買'!B:B, "買進")-SUMIFS('美股購買'!$I:$I, '美股購買'!$D:$D, $A4, '美股購買'!B:B, "賣出")</f>
        <v>5724.533119</v>
      </c>
      <c r="I4" s="91">
        <f t="shared" si="5"/>
        <v>6603.338967</v>
      </c>
      <c r="J4" s="92">
        <f>SUMIFS('美股購買'!$H:$H, '美股購買'!$D:$D, $A4, '美股購買'!B:B, "買進")-SUMIFS('美股購買'!$J:J, '美股購買'!$D:$D, $A4, '美股購買'!B:B, "賣出")</f>
        <v>187921.7656</v>
      </c>
      <c r="K4" s="41">
        <f>IFERROR(__xludf.DUMMYFUNCTION("IFERROR(GOOGLEFINANCE(A4, ""price"") - getYahooStockClose(A4), 0)"),3.5600024414062545)</f>
        <v>3.560002441</v>
      </c>
      <c r="L4" s="14">
        <f t="shared" si="6"/>
        <v>0.005970053254</v>
      </c>
      <c r="M4" s="41">
        <f t="shared" si="7"/>
        <v>39.18832887</v>
      </c>
      <c r="N4" s="93" t="s">
        <v>59</v>
      </c>
    </row>
    <row r="5" ht="22.5" customHeight="1">
      <c r="A5" s="88" t="s">
        <v>60</v>
      </c>
      <c r="B5" s="21" t="str">
        <f>IFERROR(__xludf.DUMMYFUNCTION("INDEX(IMPORTXML(""https://tw.stock.yahoo.com/quote/"" &amp; A5, ""//h1""), 2)"),"Vanguard S&amp;P 500 ETF")</f>
        <v>Vanguard S&amp;P 500 ETF</v>
      </c>
      <c r="C5" s="41">
        <f t="shared" si="1"/>
        <v>543.5785035</v>
      </c>
      <c r="D5" s="89">
        <f t="shared" si="2"/>
        <v>609.2</v>
      </c>
      <c r="E5" s="90">
        <f>SUMIFS('美股購買'!E:E, '美股購買'!D:D, A5, '美股購買'!B:B, "買進")-SUMIFS('美股購買'!E:E, '美股購買'!D:D, A5, '美股購買'!B:B, "賣出")</f>
        <v>7.06427</v>
      </c>
      <c r="F5" s="41">
        <f t="shared" si="3"/>
        <v>463.5679692</v>
      </c>
      <c r="G5" s="47">
        <f t="shared" si="4"/>
        <v>0.120721287</v>
      </c>
      <c r="H5" s="91">
        <f>SUMIFS('美股購買'!$G:$G, '美股購買'!$D:$D, $A5, '美股購買'!B:B, "買進")-SUMIFS('美股購買'!$I:$I, '美股購買'!$D:$D, $A5, '美股購買'!B:B, "賣出")</f>
        <v>3839.985315</v>
      </c>
      <c r="I5" s="91">
        <f t="shared" si="5"/>
        <v>4303.553284</v>
      </c>
      <c r="J5" s="92">
        <f>SUMIFS('美股購買'!$H:$H, '美股購買'!$D:$D, $A5, '美股購買'!B:B, "買進")-SUMIFS('美股購買'!$J:J, '美股購買'!$D:$D, $A5, '美股購買'!B:B, "賣出")</f>
        <v>126056.8863</v>
      </c>
      <c r="K5" s="41">
        <f>IFERROR(__xludf.DUMMYFUNCTION("IFERROR(GOOGLEFINANCE(A5, ""price"") - getYahooStockClose(A5), 0)"),2.2000000000000455)</f>
        <v>2.2</v>
      </c>
      <c r="L5" s="14">
        <f t="shared" si="6"/>
        <v>0.003624382208</v>
      </c>
      <c r="M5" s="41">
        <f t="shared" si="7"/>
        <v>15.541394</v>
      </c>
      <c r="N5" s="93" t="s">
        <v>59</v>
      </c>
    </row>
    <row r="6" ht="22.5" customHeight="1">
      <c r="A6" s="95" t="s">
        <v>61</v>
      </c>
      <c r="B6" s="21" t="str">
        <f>IFERROR(__xludf.DUMMYFUNCTION("INDEX(IMPORTXML(""https://tw.stock.yahoo.com/quote/"" &amp; A6, ""//h1""), 2)"),"NVIDIA Corporation")</f>
        <v>NVIDIA Corporation</v>
      </c>
      <c r="C6" s="41">
        <f t="shared" si="1"/>
        <v>141.0339294</v>
      </c>
      <c r="D6" s="89">
        <f t="shared" si="2"/>
        <v>186.52</v>
      </c>
      <c r="E6" s="90">
        <f>SUMIFS('美股購買'!E:E, '美股購買'!D:D, A6, '美股購買'!B:B, "買進")-SUMIFS('美股購買'!E:E, '美股購買'!D:D, A6, '美股購買'!B:B, "賣出")</f>
        <v>17</v>
      </c>
      <c r="F6" s="41">
        <f t="shared" si="3"/>
        <v>773.2632</v>
      </c>
      <c r="G6" s="47">
        <f t="shared" si="4"/>
        <v>0.3225186363</v>
      </c>
      <c r="H6" s="91">
        <f>SUMIFS('美股購買'!$G:$G, '美股購買'!$D:$D, $A6, '美股購買'!B:B, "買進")-SUMIFS('美股購買'!$I:$I, '美股購買'!$D:$D, $A6, '美股購買'!B:B, "賣出")</f>
        <v>2397.5768</v>
      </c>
      <c r="I6" s="91">
        <f t="shared" si="5"/>
        <v>3170.84</v>
      </c>
      <c r="J6" s="92">
        <f>SUMIFS('美股購買'!$H:$H, '美股購買'!$D:$D, $A6, '美股購買'!B:B, "買進")-SUMIFS('美股購買'!$J:J, '美股購買'!$D:$D, $A6, '美股購買'!B:B, "賣出")</f>
        <v>79008.38006</v>
      </c>
      <c r="K6" s="41">
        <f>IFERROR(__xludf.DUMMYFUNCTION("IFERROR(GOOGLEFINANCE(A6, ""price"") - getYahooStockClose(A6), 0)"),5.159999389648448)</f>
        <v>5.15999939</v>
      </c>
      <c r="L6" s="14">
        <f t="shared" si="6"/>
        <v>0.02845169482</v>
      </c>
      <c r="M6" s="41">
        <f t="shared" si="7"/>
        <v>87.71998962</v>
      </c>
      <c r="N6" s="93" t="s">
        <v>56</v>
      </c>
      <c r="V6" s="96" t="s">
        <v>44</v>
      </c>
      <c r="W6" s="96" t="s">
        <v>46</v>
      </c>
      <c r="X6" s="96" t="s">
        <v>53</v>
      </c>
      <c r="Z6" s="97" t="str">
        <f>IFERROR(__xludf.DUMMYFUNCTION("QUERY(A:N, ""SELECT N, SUM(I) WHERE N IS NOT NULL GROUP BY N ORDER BY SUM(I) DESC"", 1)"),"股票類別")</f>
        <v>股票類別</v>
      </c>
      <c r="AA6" s="97" t="str">
        <f>IFERROR(__xludf.DUMMYFUNCTION("""COMPUTED_VALUE"""),"sum 市值(USD)")</f>
        <v>sum 市值(USD)</v>
      </c>
    </row>
    <row r="7" ht="22.5" customHeight="1">
      <c r="A7" s="88" t="s">
        <v>62</v>
      </c>
      <c r="B7" s="21" t="str">
        <f>IFERROR(__xludf.DUMMYFUNCTION("INDEX(IMPORTXML(""https://tw.stock.yahoo.com/quote/"" &amp; A7, ""//h1""), 2)"),"Reddit, Inc.")</f>
        <v>Reddit, Inc.</v>
      </c>
      <c r="C7" s="41">
        <f t="shared" si="1"/>
        <v>155.6919763</v>
      </c>
      <c r="D7" s="89">
        <f t="shared" si="2"/>
        <v>187.78</v>
      </c>
      <c r="E7" s="90">
        <f>SUMIFS('美股購買'!E:E, '美股購買'!D:D, A7, '美股購買'!B:B, "買進")-SUMIFS('美股購買'!E:E, '美股購買'!D:D, A7, '美股購買'!B:B, "賣出")</f>
        <v>13.87582</v>
      </c>
      <c r="F7" s="41">
        <f t="shared" si="3"/>
        <v>445.2476416</v>
      </c>
      <c r="G7" s="47">
        <f t="shared" si="4"/>
        <v>0.2060994054</v>
      </c>
      <c r="H7" s="91">
        <f>SUMIFS('美股購買'!$G:$G, '美股購買'!$D:$D, $A7, '美股購買'!B:B, "買進")-SUMIFS('美股購買'!$I:$I, '美股購買'!$D:$D, $A7, '美股購買'!B:B, "賣出")</f>
        <v>2160.353838</v>
      </c>
      <c r="I7" s="91">
        <f t="shared" si="5"/>
        <v>2605.60148</v>
      </c>
      <c r="J7" s="94">
        <f>SUMIFS('美股購買'!$H:$H, '美股購買'!$D:$D, $A7, '美股購買'!B:B, "買進")-SUMIFS('美股購買'!$J:J, '美股購買'!$D:$D, $A7, '美股購買'!B:B, "賣出")</f>
        <v>70918.88529</v>
      </c>
      <c r="K7" s="41">
        <f>IFERROR(__xludf.DUMMYFUNCTION("IFERROR(GOOGLEFINANCE(A7, ""price"") - getYahooStockClose(A7), 0)"),2.089997558593751)</f>
        <v>2.089997559</v>
      </c>
      <c r="L7" s="47">
        <f t="shared" si="6"/>
        <v>0.01125530471</v>
      </c>
      <c r="M7" s="41">
        <f t="shared" si="7"/>
        <v>29.00042992</v>
      </c>
      <c r="N7" s="93" t="s">
        <v>56</v>
      </c>
      <c r="V7" s="98">
        <f>SUM(I:I)</f>
        <v>38668.65873</v>
      </c>
      <c r="W7" s="99">
        <f>V7-V9</f>
        <v>4731.084963</v>
      </c>
      <c r="X7" s="99">
        <f>SUMPRODUCT(E2:E999, K2:K999)
</f>
        <v>-455.6370294</v>
      </c>
      <c r="Z7" s="97" t="str">
        <f>IFERROR(__xludf.DUMMYFUNCTION("""COMPUTED_VALUE"""),"科技")</f>
        <v>科技</v>
      </c>
      <c r="AA7" s="97">
        <f>IFERROR(__xludf.DUMMYFUNCTION("""COMPUTED_VALUE"""),21620.8764796)</f>
        <v>21620.87648</v>
      </c>
    </row>
    <row r="8" ht="22.5" customHeight="1">
      <c r="A8" s="88" t="s">
        <v>63</v>
      </c>
      <c r="B8" s="21" t="str">
        <f>IFERROR(__xludf.DUMMYFUNCTION("INDEX(IMPORTXML(""https://tw.stock.yahoo.com/quote/"" &amp; A8, ""//h1""), 2)"),"Costco Wholesale Corporation")</f>
        <v>Costco Wholesale Corporation</v>
      </c>
      <c r="C8" s="41">
        <f t="shared" si="1"/>
        <v>1019.045417</v>
      </c>
      <c r="D8" s="89">
        <f t="shared" si="2"/>
        <v>890.6</v>
      </c>
      <c r="E8" s="90">
        <f>SUMIFS('美股購買'!E:E, '美股購買'!D:D, A8, '美股購買'!B:B, "買進")-SUMIFS('美股購買'!E:E, '美股購買'!D:D, A8, '美股購買'!B:B, "賣出")</f>
        <v>2.4</v>
      </c>
      <c r="F8" s="41">
        <f t="shared" si="3"/>
        <v>-308.269</v>
      </c>
      <c r="G8" s="47">
        <f t="shared" si="4"/>
        <v>-0.1260448402</v>
      </c>
      <c r="H8" s="91">
        <f>SUMIFS('美股購買'!$G:$G, '美股購買'!$D:$D, $A8, '美股購買'!B:B, "買進")-SUMIFS('美股購買'!$I:$I, '美股購買'!$D:$D, $A8, '美股購買'!B:B, "賣出")</f>
        <v>2445.709</v>
      </c>
      <c r="I8" s="91">
        <f t="shared" si="5"/>
        <v>2137.44</v>
      </c>
      <c r="J8" s="92">
        <f>SUMIFS('美股購買'!$H:$H, '美股購買'!$D:$D, $A8, '美股購買'!B:B, "買進")-SUMIFS('美股購買'!$J:J, '美股購買'!$D:$D, $A8, '美股購買'!B:B, "賣出")</f>
        <v>80286.36465</v>
      </c>
      <c r="K8" s="41">
        <f>IFERROR(__xludf.DUMMYFUNCTION("IFERROR(GOOGLEFINANCE(A8, ""price"") - getYahooStockClose(A8), 0)"),-4.480017089843727)</f>
        <v>-4.48001709</v>
      </c>
      <c r="L8" s="14">
        <f t="shared" si="6"/>
        <v>-0.005005158203</v>
      </c>
      <c r="M8" s="41">
        <f t="shared" si="7"/>
        <v>-10.75204102</v>
      </c>
      <c r="N8" s="93" t="s">
        <v>64</v>
      </c>
      <c r="V8" s="96" t="s">
        <v>45</v>
      </c>
      <c r="W8" s="96" t="s">
        <v>47</v>
      </c>
      <c r="X8" s="96" t="s">
        <v>65</v>
      </c>
      <c r="Z8" s="97" t="str">
        <f>IFERROR(__xludf.DUMMYFUNCTION("""COMPUTED_VALUE"""),"大盤")</f>
        <v>大盤</v>
      </c>
      <c r="AA8" s="97">
        <f>IFERROR(__xludf.DUMMYFUNCTION("""COMPUTED_VALUE"""),12258.7922505)</f>
        <v>12258.79225</v>
      </c>
    </row>
    <row r="9" ht="22.5" customHeight="1">
      <c r="A9" s="88" t="s">
        <v>66</v>
      </c>
      <c r="B9" s="52" t="str">
        <f>IFERROR(__xludf.DUMMYFUNCTION("INDEX(IMPORTXML(""https://tw.stock.yahoo.com/quote/"" &amp; A9, ""//h1""), 2)"),"Palantir Technologies Inc.")</f>
        <v>Palantir Technologies Inc.</v>
      </c>
      <c r="C9" s="41">
        <f t="shared" si="1"/>
        <v>111.76</v>
      </c>
      <c r="D9" s="89">
        <f t="shared" si="2"/>
        <v>165.42</v>
      </c>
      <c r="E9" s="90">
        <f>SUMIFS('美股購買'!E:E, '美股購買'!D:D, A9, '美股購買'!B:B, "買進")-SUMIFS('美股購買'!E:E, '美股購買'!D:D, A9, '美股購買'!B:B, "賣出")</f>
        <v>10</v>
      </c>
      <c r="F9" s="41">
        <f t="shared" si="3"/>
        <v>536.6</v>
      </c>
      <c r="G9" s="47">
        <f t="shared" si="4"/>
        <v>0.4801360057</v>
      </c>
      <c r="H9" s="91">
        <f>SUMIFS('美股購買'!$G:$G, '美股購買'!$D:$D, $A9, '美股購買'!B:B, "買進")-SUMIFS('美股購買'!$I:$I, '美股購買'!$D:$D, $A9, '美股購買'!B:B, "賣出")</f>
        <v>1117.6</v>
      </c>
      <c r="I9" s="91">
        <f t="shared" si="5"/>
        <v>1654.2</v>
      </c>
      <c r="J9" s="94">
        <f>SUMIFS('美股購買'!$H:$H, '美股購買'!$D:$D, $A9, '美股購買'!B:B, "買進")-SUMIFS('美股購買'!$J:J, '美股購買'!$D:$D, $A9, '美股購買'!B:B, "賣出")</f>
        <v>36687.94658</v>
      </c>
      <c r="K9" s="41">
        <f>IFERROR(__xludf.DUMMYFUNCTION("IFERROR(GOOGLEFINANCE(A9, ""price"") - getYahooStockClose(A9), 0)"),-1.9100018310547)</f>
        <v>-1.910001831</v>
      </c>
      <c r="L9" s="47">
        <f t="shared" si="6"/>
        <v>-0.01141458083</v>
      </c>
      <c r="M9" s="41">
        <f t="shared" si="7"/>
        <v>-19.10001831</v>
      </c>
      <c r="N9" s="93" t="s">
        <v>56</v>
      </c>
      <c r="V9" s="98">
        <f>sum(H:H)</f>
        <v>33937.57377</v>
      </c>
      <c r="W9" s="100">
        <f>W7/V9</f>
        <v>0.1394055154</v>
      </c>
      <c r="X9" s="100">
        <f>X7/V7</f>
        <v>-0.01178310922</v>
      </c>
      <c r="Z9" s="97" t="str">
        <f>IFERROR(__xludf.DUMMYFUNCTION("""COMPUTED_VALUE"""),"必須消費")</f>
        <v>必須消費</v>
      </c>
      <c r="AA9" s="97">
        <f>IFERROR(__xludf.DUMMYFUNCTION("""COMPUTED_VALUE"""),3086.2400000000007)</f>
        <v>3086.24</v>
      </c>
    </row>
    <row r="10" ht="22.5" customHeight="1">
      <c r="A10" s="88" t="s">
        <v>67</v>
      </c>
      <c r="B10" s="21" t="str">
        <f>IFERROR(__xludf.DUMMYFUNCTION("INDEX(IMPORTXML(""https://tw.stock.yahoo.com/quote/"" &amp; A10, ""//h1""), 2)"),"ProShares Ultra QQQ")</f>
        <v>ProShares Ultra QQQ</v>
      </c>
      <c r="C10" s="41">
        <f t="shared" si="1"/>
        <v>100.1629371</v>
      </c>
      <c r="D10" s="89">
        <f t="shared" si="2"/>
        <v>135.19</v>
      </c>
      <c r="E10" s="90">
        <f>SUMIFS('美股購買'!E:E, '美股購買'!D:D, A10, '美股購買'!B:B, "買進")-SUMIFS('美股購買'!E:E, '美股購買'!D:D, A10, '美股購買'!B:B, "賣出")</f>
        <v>10</v>
      </c>
      <c r="F10" s="41">
        <f t="shared" si="3"/>
        <v>350.2706289</v>
      </c>
      <c r="G10" s="47">
        <f t="shared" si="4"/>
        <v>0.3497008364</v>
      </c>
      <c r="H10" s="91">
        <f>SUMIFS('美股購買'!$G:$G, '美股購買'!$D:$D, $A10, '美股購買'!B:B, "買進")-SUMIFS('美股購買'!$I:$I, '美股購買'!$D:$D, $A10, '美股購買'!B:B, "賣出")</f>
        <v>1001.629371</v>
      </c>
      <c r="I10" s="91">
        <f t="shared" si="5"/>
        <v>1351.9</v>
      </c>
      <c r="J10" s="92">
        <f>SUMIFS('美股購買'!$H:$H, '美股購買'!$D:$D, $A10, '美股購買'!B:B, "買進")-SUMIFS('美股購買'!$J:J, '美股購買'!$D:$D, $A10, '美股購買'!B:B, "賣出")</f>
        <v>32880.92775</v>
      </c>
      <c r="K10" s="41">
        <f>IFERROR(__xludf.DUMMYFUNCTION("IFERROR(GOOGLEFINANCE(A10, ""price"") - getYahooStockClose(A10), 0)"),-66.06999816894532)</f>
        <v>-66.06999817</v>
      </c>
      <c r="L10" s="14">
        <f t="shared" si="6"/>
        <v>-0.4942769438</v>
      </c>
      <c r="M10" s="41">
        <f t="shared" si="7"/>
        <v>-660.6999817</v>
      </c>
      <c r="N10" s="93" t="s">
        <v>59</v>
      </c>
      <c r="V10" s="85"/>
      <c r="Z10" s="97" t="str">
        <f>IFERROR(__xludf.DUMMYFUNCTION("""COMPUTED_VALUE"""),"債券")</f>
        <v>債券</v>
      </c>
      <c r="AA10" s="97">
        <f>IFERROR(__xludf.DUMMYFUNCTION("""COMPUTED_VALUE"""),1157.24)</f>
        <v>1157.24</v>
      </c>
    </row>
    <row r="11" ht="22.5" customHeight="1">
      <c r="A11" s="95" t="s">
        <v>68</v>
      </c>
      <c r="B11" s="21" t="str">
        <f>IFERROR(__xludf.DUMMYFUNCTION("INDEX(IMPORTXML(""https://tw.stock.yahoo.com/quote/"" &amp; A11, ""//h1""), 2)"),"Alphabet Inc.")</f>
        <v>Alphabet Inc.</v>
      </c>
      <c r="C11" s="13">
        <f t="shared" si="1"/>
        <v>185.6657111</v>
      </c>
      <c r="D11" s="89">
        <f t="shared" si="2"/>
        <v>292.81</v>
      </c>
      <c r="E11" s="90">
        <f>SUMIFS('美股購買'!E:E, '美股購買'!D:D, A11, '美股購買'!B:B, "買進")-SUMIFS('美股購買'!E:E, '美股購買'!D:D, A11, '美股購買'!B:B, "賣出")</f>
        <v>4.5</v>
      </c>
      <c r="F11" s="13">
        <f t="shared" si="3"/>
        <v>482.1493</v>
      </c>
      <c r="G11" s="14">
        <f t="shared" si="4"/>
        <v>0.5770817253</v>
      </c>
      <c r="H11" s="101">
        <f>SUMIFS('美股購買'!$G:$G, '美股購買'!$D:$D, $A11, '美股購買'!B:B, "買進")-SUMIFS('美股購買'!$I:$I, '美股購買'!$D:$D, $A11, '美股購買'!B:B, "賣出")</f>
        <v>835.4957</v>
      </c>
      <c r="I11" s="101">
        <f t="shared" si="5"/>
        <v>1317.645</v>
      </c>
      <c r="J11" s="92">
        <f>SUMIFS('美股購買'!$H:$H, '美股購買'!$D:$D, $A11, '美股購買'!B:B, "買進")-SUMIFS('美股購買'!$J:J, '美股購買'!$D:$D, $A11, '美股購買'!B:B, "賣出")</f>
        <v>27443.53787</v>
      </c>
      <c r="K11" s="41">
        <f>IFERROR(__xludf.DUMMYFUNCTION("IFERROR(GOOGLEFINANCE(A11, ""price"") - getYahooStockClose(A11), 0)"),8.530001220703127)</f>
        <v>8.530001221</v>
      </c>
      <c r="L11" s="14">
        <f t="shared" si="6"/>
        <v>0.03000563268</v>
      </c>
      <c r="M11" s="41">
        <f t="shared" si="7"/>
        <v>38.38500549</v>
      </c>
      <c r="N11" s="93" t="s">
        <v>56</v>
      </c>
      <c r="Z11" s="97" t="str">
        <f>IFERROR(__xludf.DUMMYFUNCTION("""COMPUTED_VALUE"""),"虛擬貨幣")</f>
        <v>虛擬貨幣</v>
      </c>
      <c r="AA11" s="97">
        <f>IFERROR(__xludf.DUMMYFUNCTION("""COMPUTED_VALUE"""),545.51)</f>
        <v>545.51</v>
      </c>
    </row>
    <row r="12" ht="22.5" customHeight="1">
      <c r="A12" s="88" t="s">
        <v>69</v>
      </c>
      <c r="B12" s="21" t="str">
        <f>IFERROR(__xludf.DUMMYFUNCTION("INDEX(IMPORTXML(""https://tw.stock.yahoo.com/quote/"" &amp; A12, ""//h1""), 2)"),"iShares Core Global Aggregate Bond UCITS ETF USD Hedged (Acc)")</f>
        <v>iShares Core Global Aggregate Bond UCITS ETF USD Hedged (Acc)</v>
      </c>
      <c r="C12" s="41">
        <f t="shared" si="1"/>
        <v>5.60342</v>
      </c>
      <c r="D12" s="89">
        <f t="shared" si="2"/>
        <v>5.7862</v>
      </c>
      <c r="E12" s="90">
        <f>SUMIFS('美股購買'!E:E, '美股購買'!D:D, A12, '美股購買'!B:B, "買進")-SUMIFS('美股購買'!E:E, '美股購買'!D:D, A12, '美股購買'!B:B, "賣出")</f>
        <v>200</v>
      </c>
      <c r="F12" s="41">
        <f t="shared" si="3"/>
        <v>36.556</v>
      </c>
      <c r="G12" s="47">
        <f t="shared" si="4"/>
        <v>0.0326193646</v>
      </c>
      <c r="H12" s="91">
        <f>SUMIFS('美股購買'!$G:$G, '美股購買'!$D:$D, $A12, '美股購買'!B:B, "買進")-SUMIFS('美股購買'!$I:$I, '美股購買'!$D:$D, $A12, '美股購買'!B:B, "賣出")</f>
        <v>1120.684</v>
      </c>
      <c r="I12" s="91">
        <f t="shared" si="5"/>
        <v>1157.24</v>
      </c>
      <c r="J12" s="94">
        <f>SUMIFS('美股購買'!$H:$H, '美股購買'!$D:$D, $A12, '美股購買'!B:B, "買進")-SUMIFS('美股購買'!$J:J, '美股購買'!$D:$D, $A12, '美股購買'!B:B, "賣出")</f>
        <v>36698</v>
      </c>
      <c r="K12" s="41">
        <f>IFERROR(__xludf.DUMMYFUNCTION("IFERROR(GOOGLEFINANCE(A12, ""price"") - getYahooStockClose(A12), 0)"),0.0)</f>
        <v>0</v>
      </c>
      <c r="L12" s="14">
        <f t="shared" si="6"/>
        <v>0</v>
      </c>
      <c r="M12" s="41">
        <f t="shared" si="7"/>
        <v>0</v>
      </c>
      <c r="N12" s="93" t="s">
        <v>70</v>
      </c>
      <c r="V12" s="85"/>
      <c r="Z12" s="97"/>
      <c r="AA12" s="97"/>
    </row>
    <row r="13" ht="22.5" customHeight="1">
      <c r="A13" s="88" t="s">
        <v>71</v>
      </c>
      <c r="B13" s="52" t="str">
        <f>IFERROR(__xludf.DUMMYFUNCTION("INDEX(IMPORTXML(""https://tw.stock.yahoo.com/quote/"" &amp; A13, ""//h1""), 2)"),"Oracle Corporation")</f>
        <v>Oracle Corporation</v>
      </c>
      <c r="C13" s="41">
        <f t="shared" si="1"/>
        <v>286.49</v>
      </c>
      <c r="D13" s="89">
        <f t="shared" si="2"/>
        <v>225.53</v>
      </c>
      <c r="E13" s="90">
        <f>SUMIFS('美股購買'!E:E, '美股購買'!D:D, A13, '美股購買'!B:B, "買進")-SUMIFS('美股購買'!E:E, '美股購買'!D:D, A13, '美股購買'!B:B, "賣出")</f>
        <v>4</v>
      </c>
      <c r="F13" s="41">
        <f t="shared" si="3"/>
        <v>-243.84</v>
      </c>
      <c r="G13" s="47">
        <f t="shared" si="4"/>
        <v>-0.2127822961</v>
      </c>
      <c r="H13" s="91">
        <f>SUMIFS('美股購買'!$G:$G, '美股購買'!$D:$D, $A13, '美股購買'!B:B, "買進")-SUMIFS('美股購買'!$I:$I, '美股購買'!$D:$D, $A13, '美股購買'!B:B, "賣出")</f>
        <v>1145.96</v>
      </c>
      <c r="I13" s="91">
        <f t="shared" si="5"/>
        <v>902.12</v>
      </c>
      <c r="J13" s="94">
        <f>SUMIFS('美股購買'!$H:$H, '美股購買'!$D:$D, $A13, '美股購買'!B:B, "買進")-SUMIFS('美股購買'!$J:J, '美股購買'!$D:$D, $A13, '美股購買'!B:B, "賣出")</f>
        <v>37618.93277</v>
      </c>
      <c r="K13" s="41">
        <f>IFERROR(__xludf.DUMMYFUNCTION("IFERROR(GOOGLEFINANCE(A13, ""price"") - getYahooStockClose(A13), 0)"),5.039994506835939)</f>
        <v>5.039994507</v>
      </c>
      <c r="L13" s="47">
        <f t="shared" si="6"/>
        <v>0.02285815403</v>
      </c>
      <c r="M13" s="41">
        <f t="shared" si="7"/>
        <v>20.15997803</v>
      </c>
      <c r="N13" s="93" t="s">
        <v>56</v>
      </c>
      <c r="V13" s="87"/>
      <c r="Z13" s="97"/>
      <c r="AA13" s="97"/>
    </row>
    <row r="14" ht="22.5" customHeight="1">
      <c r="A14" s="88" t="s">
        <v>72</v>
      </c>
      <c r="B14" s="52" t="str">
        <f>IFERROR(__xludf.DUMMYFUNCTION("INDEX(IMPORTXML(""https://tw.stock.yahoo.com/quote/"" &amp; A14, ""//h1""), 2)"),"Apple Inc.")</f>
        <v>Apple Inc.</v>
      </c>
      <c r="C14" s="41">
        <f t="shared" si="1"/>
        <v>254.8355</v>
      </c>
      <c r="D14" s="89">
        <f t="shared" si="2"/>
        <v>268.56</v>
      </c>
      <c r="E14" s="90">
        <f>SUMIFS('美股購買'!E:E, '美股購買'!D:D, A14, '美股購買'!B:B, "買進")-SUMIFS('美股購買'!E:E, '美股購買'!D:D, A14, '美股購買'!B:B, "賣出")</f>
        <v>4</v>
      </c>
      <c r="F14" s="41">
        <f t="shared" si="3"/>
        <v>54.898</v>
      </c>
      <c r="G14" s="47">
        <f t="shared" si="4"/>
        <v>0.05385631123</v>
      </c>
      <c r="H14" s="91">
        <f>SUMIFS('美股購買'!$G:$G, '美股購買'!$D:$D, $A14, '美股購買'!B:B, "買進")-SUMIFS('美股購買'!$I:$I, '美股購買'!$D:$D, $A14, '美股購買'!B:B, "賣出")</f>
        <v>1019.342</v>
      </c>
      <c r="I14" s="91">
        <f t="shared" si="5"/>
        <v>1074.24</v>
      </c>
      <c r="J14" s="94">
        <f>SUMIFS('美股購買'!$H:$H, '美股購買'!$D:$D, $A14, '美股購買'!B:B, "買進")-SUMIFS('美股購買'!$J:J, '美股購買'!$D:$D, $A14, '美股購買'!B:B, "賣出")</f>
        <v>31090</v>
      </c>
      <c r="K14" s="41">
        <f>IFERROR(__xludf.DUMMYFUNCTION("IFERROR(GOOGLEFINANCE(A14, ""price"") - getYahooStockClose(A14), 0)"),1.1199975585937523)</f>
        <v>1.119997559</v>
      </c>
      <c r="L14" s="47">
        <f t="shared" si="6"/>
        <v>0.004187846053</v>
      </c>
      <c r="M14" s="41">
        <f t="shared" si="7"/>
        <v>4.479990234</v>
      </c>
      <c r="N14" s="93" t="s">
        <v>56</v>
      </c>
      <c r="V14" s="85"/>
    </row>
    <row r="15" ht="22.5" customHeight="1">
      <c r="A15" s="88" t="s">
        <v>73</v>
      </c>
      <c r="B15" s="21" t="str">
        <f>IFERROR(__xludf.DUMMYFUNCTION("INDEX(IMPORTXML(""https://tw.stock.yahoo.com/quote/"" &amp; A15, ""//h1""), 2)"),"Amazon.com, Inc.")</f>
        <v>Amazon.com, Inc.</v>
      </c>
      <c r="C15" s="41">
        <f t="shared" si="1"/>
        <v>205.0542857</v>
      </c>
      <c r="D15" s="89">
        <f t="shared" si="2"/>
        <v>222.69</v>
      </c>
      <c r="E15" s="90">
        <f>SUMIFS('美股購買'!E:E, '美股購買'!D:D, A15, '美股購買'!B:B, "買進")-SUMIFS('美股購買'!E:E, '美股購買'!D:D, A15, '美股購買'!B:B, "賣出")</f>
        <v>3.5</v>
      </c>
      <c r="F15" s="41">
        <f t="shared" si="3"/>
        <v>61.725</v>
      </c>
      <c r="G15" s="47">
        <f t="shared" si="4"/>
        <v>0.08600509969</v>
      </c>
      <c r="H15" s="91">
        <f>SUMIFS('美股購買'!$G:$G, '美股購買'!$D:$D, $A15, '美股購買'!B:B, "買進")-SUMIFS('美股購買'!$I:$I, '美股購買'!$D:$D, $A15, '美股購買'!B:B, "賣出")</f>
        <v>717.69</v>
      </c>
      <c r="I15" s="91">
        <f t="shared" si="5"/>
        <v>779.415</v>
      </c>
      <c r="J15" s="92">
        <f>SUMIFS('美股購買'!$H:$H, '美股購買'!$D:$D, $A15, '美股購買'!B:B, "買進")-SUMIFS('美股購買'!$J:J, '美股購買'!$D:$D, $A15, '美股購買'!B:B, "賣出")</f>
        <v>23559.92518</v>
      </c>
      <c r="K15" s="41">
        <f>IFERROR(__xludf.DUMMYFUNCTION("IFERROR(GOOGLEFINANCE(A15, ""price"") - getYahooStockClose(A15), 0)"),0.13999694824218523)</f>
        <v>0.1399969482</v>
      </c>
      <c r="L15" s="14">
        <f t="shared" si="6"/>
        <v>0.0006290583973</v>
      </c>
      <c r="M15" s="41">
        <f t="shared" si="7"/>
        <v>0.4899893188</v>
      </c>
      <c r="N15" s="93" t="s">
        <v>56</v>
      </c>
      <c r="V15" s="86"/>
    </row>
    <row r="16" ht="22.5" customHeight="1">
      <c r="A16" s="88" t="s">
        <v>74</v>
      </c>
      <c r="B16" s="52" t="str">
        <f>IFERROR(__xludf.DUMMYFUNCTION("INDEX(IMPORTXML(""https://tw.stock.yahoo.com/quote/"" &amp; A16, ""//h1""), 2)"),"Meta Platforms, Inc.")</f>
        <v>Meta Platforms, Inc.</v>
      </c>
      <c r="C16" s="41">
        <f t="shared" si="1"/>
        <v>712.75</v>
      </c>
      <c r="D16" s="89">
        <f t="shared" si="2"/>
        <v>590.32</v>
      </c>
      <c r="E16" s="90">
        <f>SUMIFS('美股購買'!E:E, '美股購買'!D:D, A16, '美股購買'!B:B, "買進")-SUMIFS('美股購買'!E:E, '美股購買'!D:D, A16, '美股購買'!B:B, "賣出")</f>
        <v>1</v>
      </c>
      <c r="F16" s="41">
        <f t="shared" si="3"/>
        <v>-122.43</v>
      </c>
      <c r="G16" s="47">
        <f t="shared" si="4"/>
        <v>-0.1717713083</v>
      </c>
      <c r="H16" s="91">
        <f>SUMIFS('美股購買'!$G:$G, '美股購買'!$D:$D, $A16, '美股購買'!B:B, "買進")-SUMIFS('美股購買'!$I:$I, '美股購買'!$D:$D, $A16, '美股購買'!B:B, "賣出")</f>
        <v>712.75</v>
      </c>
      <c r="I16" s="91">
        <f t="shared" si="5"/>
        <v>590.32</v>
      </c>
      <c r="J16" s="94">
        <f>SUMIFS('美股購買'!$H:$H, '美股購買'!$D:$D, $A16, '美股購買'!B:B, "買進")-SUMIFS('美股購買'!$J:J, '美股購買'!$D:$D, $A16, '美股購買'!B:B, "賣出")</f>
        <v>23397.75763</v>
      </c>
      <c r="K16" s="41">
        <f>IFERROR(__xludf.DUMMYFUNCTION("IFERROR(GOOGLEFINANCE(A16, ""price"") - getYahooStockClose(A16), 0)"),-7.3700024414062)</f>
        <v>-7.370002441</v>
      </c>
      <c r="L16" s="47">
        <f t="shared" si="6"/>
        <v>-0.01233081097</v>
      </c>
      <c r="M16" s="41">
        <f t="shared" si="7"/>
        <v>-7.370002441</v>
      </c>
      <c r="N16" s="93" t="s">
        <v>56</v>
      </c>
      <c r="V16" s="85"/>
    </row>
    <row r="17" ht="22.5" customHeight="1">
      <c r="A17" s="88" t="s">
        <v>75</v>
      </c>
      <c r="B17" s="21" t="str">
        <f>IFERROR(__xludf.DUMMYFUNCTION("INDEX(IMPORTXML(""https://tw.stock.yahoo.com/quote/"" &amp; A17, ""//h1""), 2)"),"Fidelity Wise Origin Bitcoin Fund")</f>
        <v>Fidelity Wise Origin Bitcoin Fund</v>
      </c>
      <c r="C17" s="41">
        <f t="shared" si="1"/>
        <v>80.46714286</v>
      </c>
      <c r="D17" s="89">
        <f t="shared" si="2"/>
        <v>77.93</v>
      </c>
      <c r="E17" s="90">
        <f>SUMIFS('美股購買'!E:E, '美股購買'!D:D, A17, '美股購買'!B:B, "買進")-SUMIFS('美股購買'!E:E, '美股購買'!D:D, A17, '美股購買'!B:B, "賣出")</f>
        <v>7</v>
      </c>
      <c r="F17" s="41">
        <f t="shared" si="3"/>
        <v>-17.76</v>
      </c>
      <c r="G17" s="47">
        <f t="shared" si="4"/>
        <v>-0.03153017203</v>
      </c>
      <c r="H17" s="91">
        <f>SUMIFS('美股購買'!$G:$G, '美股購買'!$D:$D, $A17, '美股購買'!B:B, "買進")-SUMIFS('美股購買'!$I:$I, '美股購買'!$D:$D, $A17, '美股購買'!B:B, "賣出")</f>
        <v>563.27</v>
      </c>
      <c r="I17" s="91">
        <f t="shared" si="5"/>
        <v>545.51</v>
      </c>
      <c r="J17" s="94">
        <f>SUMIFS('美股購買'!$H:$H, '美股購買'!$D:$D, $A17, '美股購買'!B:B, "買進")-SUMIFS('美股購買'!$J:J, '美股購買'!$D:$D, $A17, '美股購買'!B:B, "賣出")</f>
        <v>18490.71194</v>
      </c>
      <c r="K17" s="41">
        <f>IFERROR(getStockPrice(A17) - getYahooStockClose(A17), 0)</f>
        <v>-2.970001526</v>
      </c>
      <c r="L17" s="47">
        <f t="shared" si="6"/>
        <v>-0.03671200828</v>
      </c>
      <c r="M17" s="41">
        <f t="shared" si="7"/>
        <v>-20.79001068</v>
      </c>
      <c r="N17" s="93" t="s">
        <v>76</v>
      </c>
    </row>
    <row r="18" ht="22.5" customHeight="1">
      <c r="A18" s="95" t="s">
        <v>77</v>
      </c>
      <c r="B18" s="21" t="str">
        <f>IFERROR(__xludf.DUMMYFUNCTION("INDEX(IMPORTXML(""https://tw.stock.yahoo.com/quote/"" &amp; A18, ""//h1""), 2)"),"McDonald's Corporation")</f>
        <v>McDonald's Corporation</v>
      </c>
      <c r="C18" s="13">
        <f t="shared" si="1"/>
        <v>289.552075</v>
      </c>
      <c r="D18" s="89">
        <f t="shared" si="2"/>
        <v>302.74</v>
      </c>
      <c r="E18" s="102">
        <f>SUMIFS('美股購買'!E:E, '美股購買'!D:D, A18, '美股購買'!B:B, "買進")-SUMIFS('美股購買'!E:E, '美股購買'!D:D, A18, '美股購買'!B:B, "賣出")</f>
        <v>2</v>
      </c>
      <c r="F18" s="13">
        <f t="shared" si="3"/>
        <v>26.37585</v>
      </c>
      <c r="G18" s="14">
        <f t="shared" si="4"/>
        <v>0.04554595231</v>
      </c>
      <c r="H18" s="101">
        <f>SUMIFS('美股購買'!$G:$G, '美股購買'!$D:$D, $A18, '美股購買'!B:B, "買進")-SUMIFS('美股購買'!$I:$I, '美股購買'!$D:$D, $A18, '美股購買'!B:B, "賣出")</f>
        <v>579.10415</v>
      </c>
      <c r="I18" s="101">
        <f t="shared" si="5"/>
        <v>605.48</v>
      </c>
      <c r="J18" s="92">
        <f>SUMIFS('美股購買'!$H:$H, '美股購買'!$D:$D, $A18, '美股購買'!B:B, "買進")-SUMIFS('美股購買'!$J:J, '美股購買'!$D:$D, $A18, '美股購買'!B:B, "賣出")</f>
        <v>19053</v>
      </c>
      <c r="K18" s="41">
        <f>IFERROR(__xludf.DUMMYFUNCTION("IFERROR(GOOGLEFINANCE(A18, ""price"") - getYahooStockClose(A18), 0)"),-1.849996337890616)</f>
        <v>-1.849996338</v>
      </c>
      <c r="L18" s="14">
        <f t="shared" si="6"/>
        <v>-0.006073726518</v>
      </c>
      <c r="M18" s="41">
        <f t="shared" si="7"/>
        <v>-3.699992676</v>
      </c>
      <c r="N18" s="93" t="s">
        <v>64</v>
      </c>
    </row>
    <row r="19" ht="22.5" customHeight="1">
      <c r="A19" s="95" t="s">
        <v>78</v>
      </c>
      <c r="B19" s="21" t="str">
        <f>IFERROR(__xludf.DUMMYFUNCTION("INDEX(IMPORTXML(""https://tw.stock.yahoo.com/quote/"" &amp; A19, ""//h1""), 2)"),"Lifeward Ltd.")</f>
        <v>Lifeward Ltd.</v>
      </c>
      <c r="C19" s="13">
        <f t="shared" si="1"/>
        <v>1.761823077</v>
      </c>
      <c r="D19" s="89">
        <f t="shared" si="2"/>
        <v>0.549</v>
      </c>
      <c r="E19" s="102">
        <f>SUMIFS('美股購買'!E:E, '美股購買'!D:D, A19, '美股購買'!B:B, "買進")-SUMIFS('美股購買'!E:E, '美股購買'!D:D, A19, '美股購買'!B:B, "賣出")</f>
        <v>650</v>
      </c>
      <c r="F19" s="13">
        <f t="shared" si="3"/>
        <v>-788.335</v>
      </c>
      <c r="G19" s="14">
        <f t="shared" si="4"/>
        <v>-0.6883909587</v>
      </c>
      <c r="H19" s="101">
        <f>SUMIFS('美股購買'!$G:$G, '美股購買'!$D:$D, $A19, '美股購買'!B:B, "買進")-SUMIFS('美股購買'!$I:$I, '美股購買'!$D:$D, $A19, '美股購買'!B:B, "賣出")</f>
        <v>1145.185</v>
      </c>
      <c r="I19" s="101">
        <f t="shared" si="5"/>
        <v>356.85</v>
      </c>
      <c r="J19" s="92">
        <f>SUMIFS('美股購買'!$H:$H, '美股購買'!$D:$D, $A19, '美股購買'!B:B, "買進")-SUMIFS('美股購買'!$J:J, '美股購買'!$D:$D, $A19, '美股購買'!B:B, "賣出")</f>
        <v>36710.67521</v>
      </c>
      <c r="K19" s="41">
        <f>IFERROR(__xludf.DUMMYFUNCTION("IFERROR(GOOGLEFINANCE(A19, ""price"") - getYahooStockClose(A19), 0)"),-0.05600000619888301)</f>
        <v>-0.0560000062</v>
      </c>
      <c r="L19" s="14">
        <f t="shared" si="6"/>
        <v>-0.09240925021</v>
      </c>
      <c r="M19" s="41">
        <f t="shared" si="7"/>
        <v>-36.40000403</v>
      </c>
      <c r="N19" s="93" t="s">
        <v>56</v>
      </c>
    </row>
    <row r="20" ht="22.5" customHeight="1">
      <c r="A20" s="95" t="s">
        <v>79</v>
      </c>
      <c r="B20" s="21" t="str">
        <f>IFERROR(__xludf.DUMMYFUNCTION("INDEX(IMPORTXML(""https://tw.stock.yahoo.com/quote/"" &amp; A20, ""//h1""), 2)"),"Airbnb, Inc.")</f>
        <v>Airbnb, Inc.</v>
      </c>
      <c r="C20" s="13">
        <f t="shared" si="1"/>
        <v>129.94405</v>
      </c>
      <c r="D20" s="89">
        <f t="shared" si="2"/>
        <v>114.44</v>
      </c>
      <c r="E20" s="102">
        <f>SUMIFS('美股購買'!E:E, '美股購買'!D:D, A20, '美股購買'!B:B, "買進")-SUMIFS('美股購買'!E:E, '美股購買'!D:D, A20, '美股購買'!B:B, "賣出")</f>
        <v>3</v>
      </c>
      <c r="F20" s="13">
        <f t="shared" si="3"/>
        <v>-46.51215</v>
      </c>
      <c r="G20" s="14">
        <f t="shared" si="4"/>
        <v>-0.1193132737</v>
      </c>
      <c r="H20" s="101">
        <f>SUMIFS('美股購買'!$G:$G, '美股購買'!$D:$D, $A20, '美股購買'!B:B, "買進")-SUMIFS('美股購買'!$I:$I, '美股購買'!$D:$D, $A20, '美股購買'!B:B, "賣出")</f>
        <v>389.83215</v>
      </c>
      <c r="I20" s="101">
        <f t="shared" si="5"/>
        <v>343.32</v>
      </c>
      <c r="J20" s="92">
        <f>SUMIFS('美股購買'!$H:$H, '美股購買'!$D:$D, $A20, '美股購買'!B:B, "買進")-SUMIFS('美股購買'!$J:J, '美股購買'!$D:$D, $A20, '美股購買'!B:B, "賣出")</f>
        <v>12814</v>
      </c>
      <c r="K20" s="41">
        <f>IFERROR(__xludf.DUMMYFUNCTION("IFERROR(GOOGLEFINANCE(A20, ""price"") - getYahooStockClose(A20), 0)"),-0.9799981689453148)</f>
        <v>-0.9799981689</v>
      </c>
      <c r="L20" s="14">
        <f t="shared" si="6"/>
        <v>-0.00849071378</v>
      </c>
      <c r="M20" s="41">
        <f t="shared" si="7"/>
        <v>-2.939994507</v>
      </c>
      <c r="N20" s="93" t="s">
        <v>64</v>
      </c>
    </row>
    <row r="21" ht="22.5" customHeight="1">
      <c r="A21" s="88" t="s">
        <v>80</v>
      </c>
      <c r="B21" s="52" t="str">
        <f>IFERROR(__xludf.DUMMYFUNCTION("INDEX(IMPORTXML(""https://tw.stock.yahoo.com/quote/"" &amp; A21, ""//h1""), 2)"),"T-Rex 2X Inverse Tesla Daily Target ETF")</f>
        <v>T-Rex 2X Inverse Tesla Daily Target ETF</v>
      </c>
      <c r="C21" s="41">
        <f t="shared" si="1"/>
        <v>101.1</v>
      </c>
      <c r="D21" s="89">
        <f t="shared" si="2"/>
        <v>15.57</v>
      </c>
      <c r="E21" s="90">
        <f>SUMIFS('美股購買'!E:E, '美股購買'!D:D, A21, '美股購買'!B:B, "買進")-SUMIFS('美股購買'!E:E, '美股購買'!D:D, A21, '美股購買'!B:B, "賣出")</f>
        <v>5</v>
      </c>
      <c r="F21" s="41">
        <f t="shared" si="3"/>
        <v>-427.65</v>
      </c>
      <c r="G21" s="47">
        <f t="shared" si="4"/>
        <v>-0.8459940653</v>
      </c>
      <c r="H21" s="91">
        <f>SUMIFS('美股購買'!$G:$G, '美股購買'!$D:$D, $A21, '美股購買'!B:B, "買進")-SUMIFS('美股購買'!$I:$I, '美股購買'!$D:$D, $A21, '美股購買'!B:B, "賣出")</f>
        <v>505.5</v>
      </c>
      <c r="I21" s="91">
        <f t="shared" si="5"/>
        <v>77.85</v>
      </c>
      <c r="J21" s="94">
        <f>SUMIFS('美股購買'!$H:$H, '美股購買'!$D:$D, $A21, '美股購買'!B:B, "買進")-SUMIFS('美股購買'!$J:J, '美股購買'!$D:$D, $A21, '美股購買'!B:B, "賣出")</f>
        <v>16594.27075</v>
      </c>
      <c r="K21" s="41">
        <f>IFERROR(__xludf.DUMMYFUNCTION("IFERROR(GOOGLEFINANCE(A21, ""price"") - getYahooStockClose(A21), 0)"),-0.21999996185302706)</f>
        <v>-0.2199999619</v>
      </c>
      <c r="L21" s="47">
        <f t="shared" si="6"/>
        <v>-0.01393286652</v>
      </c>
      <c r="M21" s="41">
        <f t="shared" si="7"/>
        <v>-1.099999809</v>
      </c>
      <c r="N21" s="93" t="s">
        <v>56</v>
      </c>
    </row>
    <row r="22" ht="22.5" customHeight="1">
      <c r="A22" s="88"/>
      <c r="B22" s="21"/>
      <c r="C22" s="41"/>
      <c r="D22" s="89"/>
      <c r="E22" s="90"/>
      <c r="F22" s="41"/>
      <c r="G22" s="47"/>
      <c r="H22" s="91"/>
      <c r="I22" s="91"/>
      <c r="J22" s="94"/>
      <c r="K22" s="41"/>
      <c r="L22" s="47"/>
      <c r="M22" s="41"/>
      <c r="N22" s="103"/>
    </row>
    <row r="23" ht="22.5" customHeight="1">
      <c r="B23" s="21"/>
      <c r="C23" s="13"/>
      <c r="E23" s="12"/>
      <c r="F23" s="13"/>
      <c r="G23" s="14"/>
      <c r="H23" s="13"/>
      <c r="I23" s="13"/>
      <c r="J23" s="104"/>
      <c r="K23" s="13"/>
      <c r="L23" s="14"/>
      <c r="M23" s="13"/>
      <c r="N23" s="105"/>
    </row>
    <row r="24" ht="22.5" customHeight="1">
      <c r="A24" s="88"/>
      <c r="B24" s="52"/>
      <c r="C24" s="41"/>
      <c r="D24" s="89"/>
      <c r="E24" s="90"/>
      <c r="F24" s="41"/>
      <c r="G24" s="47"/>
      <c r="H24" s="91"/>
      <c r="I24" s="91"/>
      <c r="J24" s="94"/>
      <c r="K24" s="41"/>
      <c r="L24" s="47"/>
      <c r="M24" s="41"/>
      <c r="N24" s="93"/>
    </row>
    <row r="25">
      <c r="A25" s="106"/>
      <c r="C25" s="107"/>
      <c r="D25" s="108"/>
      <c r="E25" s="109"/>
      <c r="F25" s="107"/>
      <c r="G25" s="110"/>
      <c r="H25" s="111"/>
      <c r="I25" s="111"/>
      <c r="J25" s="112"/>
      <c r="K25" s="107"/>
      <c r="L25" s="110"/>
      <c r="M25" s="107"/>
      <c r="N25" s="113"/>
    </row>
    <row r="26">
      <c r="C26" s="107"/>
      <c r="D26" s="108"/>
      <c r="E26" s="114"/>
      <c r="F26" s="107"/>
      <c r="H26" s="111"/>
      <c r="I26" s="111"/>
      <c r="J26" s="115"/>
      <c r="K26" s="107"/>
      <c r="L26" s="49"/>
      <c r="M26" s="107"/>
      <c r="N26" s="116"/>
    </row>
    <row r="27">
      <c r="C27" s="107"/>
      <c r="D27" s="108"/>
      <c r="E27" s="114"/>
      <c r="F27" s="107"/>
      <c r="H27" s="111"/>
      <c r="I27" s="111"/>
      <c r="J27" s="115"/>
      <c r="K27" s="107"/>
      <c r="L27" s="49"/>
      <c r="M27" s="107"/>
      <c r="N27" s="116"/>
    </row>
    <row r="28">
      <c r="C28" s="107"/>
      <c r="D28" s="108"/>
      <c r="E28" s="114"/>
      <c r="F28" s="114"/>
      <c r="H28" s="111"/>
      <c r="I28" s="111"/>
      <c r="J28" s="115"/>
      <c r="K28" s="107"/>
      <c r="L28" s="49"/>
      <c r="M28" s="107"/>
      <c r="N28" s="116"/>
    </row>
    <row r="29">
      <c r="C29" s="107"/>
      <c r="D29" s="108"/>
      <c r="E29" s="114"/>
      <c r="F29" s="107"/>
      <c r="H29" s="111"/>
      <c r="I29" s="111"/>
      <c r="J29" s="115"/>
      <c r="K29" s="107"/>
      <c r="L29" s="49"/>
      <c r="M29" s="107"/>
      <c r="N29" s="116"/>
    </row>
    <row r="30">
      <c r="C30" s="107"/>
      <c r="D30" s="108"/>
      <c r="E30" s="114"/>
      <c r="F30" s="107"/>
      <c r="H30" s="111"/>
      <c r="I30" s="111"/>
      <c r="J30" s="115"/>
      <c r="K30" s="107"/>
      <c r="L30" s="49"/>
      <c r="M30" s="107"/>
      <c r="N30" s="116"/>
    </row>
    <row r="31">
      <c r="C31" s="107"/>
      <c r="D31" s="108"/>
      <c r="E31" s="114"/>
      <c r="F31" s="107"/>
      <c r="H31" s="111"/>
      <c r="I31" s="111"/>
      <c r="J31" s="115"/>
      <c r="K31" s="107"/>
      <c r="L31" s="49"/>
      <c r="M31" s="107"/>
      <c r="N31" s="116"/>
    </row>
    <row r="32">
      <c r="C32" s="107"/>
      <c r="D32" s="108"/>
      <c r="E32" s="114"/>
      <c r="F32" s="107"/>
      <c r="H32" s="111"/>
      <c r="I32" s="111"/>
      <c r="J32" s="115"/>
      <c r="K32" s="107"/>
      <c r="L32" s="49"/>
      <c r="M32" s="107"/>
      <c r="N32" s="116"/>
    </row>
    <row r="33">
      <c r="C33" s="107"/>
      <c r="D33" s="108"/>
      <c r="E33" s="114"/>
      <c r="F33" s="107"/>
      <c r="H33" s="111"/>
      <c r="I33" s="111"/>
      <c r="J33" s="115"/>
      <c r="K33" s="107"/>
      <c r="L33" s="49"/>
      <c r="M33" s="107"/>
      <c r="N33" s="116"/>
    </row>
    <row r="34">
      <c r="C34" s="107"/>
      <c r="D34" s="108"/>
      <c r="E34" s="114"/>
      <c r="F34" s="107"/>
      <c r="H34" s="111"/>
      <c r="I34" s="111"/>
      <c r="J34" s="115"/>
      <c r="K34" s="107"/>
      <c r="L34" s="49"/>
      <c r="M34" s="107"/>
      <c r="N34" s="116"/>
    </row>
    <row r="35">
      <c r="C35" s="107"/>
      <c r="D35" s="108"/>
      <c r="E35" s="114"/>
      <c r="F35" s="107"/>
      <c r="H35" s="111"/>
      <c r="I35" s="111"/>
      <c r="J35" s="115"/>
      <c r="K35" s="107"/>
      <c r="L35" s="49"/>
      <c r="M35" s="107"/>
      <c r="N35" s="116"/>
    </row>
    <row r="36">
      <c r="C36" s="107"/>
      <c r="D36" s="108"/>
      <c r="E36" s="114"/>
      <c r="F36" s="107"/>
      <c r="H36" s="111"/>
      <c r="I36" s="111"/>
      <c r="J36" s="115"/>
      <c r="K36" s="107"/>
      <c r="L36" s="49"/>
      <c r="M36" s="107"/>
      <c r="N36" s="116"/>
    </row>
    <row r="37">
      <c r="C37" s="107"/>
      <c r="D37" s="108"/>
      <c r="E37" s="114"/>
      <c r="F37" s="107"/>
      <c r="H37" s="111"/>
      <c r="I37" s="111"/>
      <c r="J37" s="115"/>
      <c r="K37" s="107"/>
      <c r="L37" s="49"/>
      <c r="M37" s="107"/>
      <c r="N37" s="116"/>
    </row>
    <row r="38">
      <c r="C38" s="107"/>
      <c r="D38" s="108"/>
      <c r="E38" s="114"/>
      <c r="F38" s="107"/>
      <c r="H38" s="111"/>
      <c r="I38" s="111"/>
      <c r="J38" s="115"/>
      <c r="K38" s="107"/>
      <c r="L38" s="49"/>
      <c r="M38" s="107"/>
      <c r="N38" s="116"/>
    </row>
    <row r="39">
      <c r="C39" s="107"/>
      <c r="D39" s="108"/>
      <c r="E39" s="114"/>
      <c r="F39" s="107"/>
      <c r="H39" s="111"/>
      <c r="I39" s="111"/>
      <c r="J39" s="115"/>
      <c r="K39" s="107"/>
      <c r="L39" s="49"/>
      <c r="M39" s="107"/>
      <c r="N39" s="116"/>
    </row>
    <row r="40">
      <c r="C40" s="107"/>
      <c r="D40" s="108"/>
      <c r="E40" s="114"/>
      <c r="F40" s="107"/>
      <c r="H40" s="111"/>
      <c r="I40" s="111"/>
      <c r="J40" s="115"/>
      <c r="K40" s="107"/>
      <c r="L40" s="49"/>
      <c r="M40" s="107"/>
      <c r="N40" s="116"/>
    </row>
    <row r="41">
      <c r="C41" s="107"/>
      <c r="D41" s="108"/>
      <c r="E41" s="114"/>
      <c r="F41" s="107"/>
      <c r="H41" s="111"/>
      <c r="I41" s="111"/>
      <c r="J41" s="115"/>
      <c r="K41" s="107"/>
      <c r="L41" s="49"/>
      <c r="M41" s="107"/>
      <c r="N41" s="116"/>
    </row>
    <row r="42">
      <c r="C42" s="107"/>
      <c r="D42" s="108"/>
      <c r="E42" s="114"/>
      <c r="F42" s="107"/>
      <c r="H42" s="111"/>
      <c r="I42" s="111"/>
      <c r="J42" s="115"/>
      <c r="K42" s="107"/>
      <c r="L42" s="49"/>
      <c r="M42" s="107"/>
      <c r="N42" s="116"/>
    </row>
    <row r="43">
      <c r="C43" s="107"/>
      <c r="D43" s="108"/>
      <c r="E43" s="114"/>
      <c r="F43" s="107"/>
      <c r="H43" s="111"/>
      <c r="I43" s="111"/>
      <c r="J43" s="115"/>
      <c r="K43" s="107"/>
      <c r="L43" s="49"/>
      <c r="M43" s="107"/>
      <c r="N43" s="116"/>
    </row>
    <row r="44">
      <c r="C44" s="107"/>
      <c r="D44" s="108"/>
      <c r="E44" s="114"/>
      <c r="F44" s="107"/>
      <c r="H44" s="111"/>
      <c r="I44" s="111"/>
      <c r="J44" s="115"/>
      <c r="K44" s="107"/>
      <c r="L44" s="49"/>
      <c r="M44" s="107"/>
      <c r="N44" s="116"/>
    </row>
    <row r="45">
      <c r="C45" s="107"/>
      <c r="D45" s="108"/>
      <c r="E45" s="114"/>
      <c r="F45" s="107"/>
      <c r="H45" s="111"/>
      <c r="I45" s="111"/>
      <c r="J45" s="115"/>
      <c r="K45" s="107"/>
      <c r="L45" s="49"/>
      <c r="M45" s="107"/>
      <c r="N45" s="116"/>
    </row>
    <row r="46">
      <c r="C46" s="107"/>
      <c r="D46" s="108"/>
      <c r="E46" s="114"/>
      <c r="F46" s="107"/>
      <c r="H46" s="111"/>
      <c r="I46" s="111"/>
      <c r="J46" s="115"/>
      <c r="K46" s="107"/>
      <c r="L46" s="49"/>
      <c r="M46" s="107"/>
      <c r="N46" s="116"/>
    </row>
    <row r="47">
      <c r="C47" s="107"/>
      <c r="D47" s="108"/>
      <c r="E47" s="114"/>
      <c r="F47" s="107"/>
      <c r="H47" s="111"/>
      <c r="I47" s="111"/>
      <c r="J47" s="115"/>
      <c r="K47" s="107"/>
      <c r="L47" s="49"/>
      <c r="M47" s="107"/>
      <c r="N47" s="116"/>
    </row>
    <row r="48">
      <c r="C48" s="107"/>
      <c r="D48" s="108"/>
      <c r="E48" s="114"/>
      <c r="F48" s="107"/>
      <c r="H48" s="111"/>
      <c r="I48" s="111"/>
      <c r="J48" s="115"/>
      <c r="K48" s="107"/>
      <c r="L48" s="49"/>
      <c r="M48" s="107"/>
      <c r="N48" s="116"/>
    </row>
    <row r="49">
      <c r="C49" s="107"/>
      <c r="D49" s="108"/>
      <c r="E49" s="114"/>
      <c r="F49" s="107"/>
      <c r="H49" s="111"/>
      <c r="I49" s="111"/>
      <c r="J49" s="115"/>
      <c r="K49" s="107"/>
      <c r="L49" s="49"/>
      <c r="M49" s="107"/>
      <c r="N49" s="116"/>
    </row>
    <row r="50">
      <c r="C50" s="107"/>
      <c r="D50" s="108"/>
      <c r="E50" s="114"/>
      <c r="F50" s="107"/>
      <c r="H50" s="111"/>
      <c r="I50" s="111"/>
      <c r="J50" s="115"/>
      <c r="K50" s="107"/>
      <c r="L50" s="49"/>
      <c r="M50" s="107"/>
      <c r="N50" s="116"/>
    </row>
    <row r="51">
      <c r="C51" s="107"/>
      <c r="D51" s="108"/>
      <c r="E51" s="114"/>
      <c r="F51" s="107"/>
      <c r="H51" s="111"/>
      <c r="I51" s="111"/>
      <c r="J51" s="115"/>
      <c r="K51" s="107"/>
      <c r="L51" s="49"/>
      <c r="M51" s="107"/>
      <c r="N51" s="116"/>
    </row>
    <row r="52">
      <c r="C52" s="107"/>
      <c r="D52" s="108"/>
      <c r="E52" s="114"/>
      <c r="F52" s="107"/>
      <c r="H52" s="111"/>
      <c r="I52" s="111"/>
      <c r="J52" s="115"/>
      <c r="K52" s="107"/>
      <c r="L52" s="49"/>
      <c r="M52" s="107"/>
      <c r="N52" s="116"/>
    </row>
    <row r="53">
      <c r="C53" s="107"/>
      <c r="D53" s="108"/>
      <c r="E53" s="114"/>
      <c r="F53" s="107"/>
      <c r="H53" s="111"/>
      <c r="I53" s="111"/>
      <c r="J53" s="115"/>
      <c r="K53" s="107"/>
      <c r="L53" s="49"/>
      <c r="M53" s="107"/>
      <c r="N53" s="116"/>
    </row>
    <row r="54">
      <c r="C54" s="107"/>
      <c r="D54" s="108"/>
      <c r="E54" s="114"/>
      <c r="F54" s="107"/>
      <c r="H54" s="111"/>
      <c r="I54" s="111"/>
      <c r="J54" s="115"/>
      <c r="K54" s="107"/>
      <c r="L54" s="49"/>
      <c r="M54" s="107"/>
      <c r="N54" s="116"/>
    </row>
    <row r="55">
      <c r="C55" s="107"/>
      <c r="D55" s="108"/>
      <c r="E55" s="114"/>
      <c r="F55" s="107"/>
      <c r="H55" s="111"/>
      <c r="I55" s="111"/>
      <c r="J55" s="115"/>
      <c r="K55" s="107"/>
      <c r="L55" s="49"/>
      <c r="M55" s="107"/>
      <c r="N55" s="116"/>
    </row>
    <row r="56">
      <c r="C56" s="107"/>
      <c r="D56" s="108"/>
      <c r="E56" s="114"/>
      <c r="F56" s="107"/>
      <c r="H56" s="111"/>
      <c r="I56" s="111"/>
      <c r="J56" s="115"/>
      <c r="K56" s="107"/>
      <c r="L56" s="49"/>
      <c r="M56" s="107"/>
      <c r="N56" s="116"/>
    </row>
    <row r="57">
      <c r="C57" s="107"/>
      <c r="D57" s="108"/>
      <c r="E57" s="114"/>
      <c r="F57" s="107"/>
      <c r="H57" s="111"/>
      <c r="I57" s="111"/>
      <c r="J57" s="115"/>
      <c r="K57" s="107"/>
      <c r="L57" s="49"/>
      <c r="M57" s="107"/>
      <c r="N57" s="116"/>
    </row>
    <row r="58">
      <c r="C58" s="107"/>
      <c r="D58" s="108"/>
      <c r="E58" s="114"/>
      <c r="F58" s="107"/>
      <c r="H58" s="111"/>
      <c r="I58" s="111"/>
      <c r="J58" s="115"/>
      <c r="K58" s="107"/>
      <c r="L58" s="49"/>
      <c r="M58" s="107"/>
      <c r="N58" s="116"/>
    </row>
    <row r="59">
      <c r="C59" s="107"/>
      <c r="D59" s="108"/>
      <c r="E59" s="114"/>
      <c r="F59" s="107"/>
      <c r="H59" s="111"/>
      <c r="I59" s="111"/>
      <c r="J59" s="115"/>
      <c r="K59" s="107"/>
      <c r="L59" s="49"/>
      <c r="M59" s="107"/>
      <c r="N59" s="116"/>
    </row>
    <row r="60">
      <c r="C60" s="107"/>
      <c r="D60" s="108"/>
      <c r="E60" s="114"/>
      <c r="F60" s="107"/>
      <c r="H60" s="111"/>
      <c r="I60" s="111"/>
      <c r="J60" s="115"/>
      <c r="K60" s="107"/>
      <c r="L60" s="49"/>
      <c r="M60" s="107"/>
      <c r="N60" s="116"/>
    </row>
    <row r="61">
      <c r="C61" s="107"/>
      <c r="D61" s="108"/>
      <c r="E61" s="114"/>
      <c r="F61" s="107"/>
      <c r="H61" s="111"/>
      <c r="I61" s="111"/>
      <c r="J61" s="115"/>
      <c r="K61" s="107"/>
      <c r="L61" s="49"/>
      <c r="M61" s="107"/>
      <c r="N61" s="116"/>
    </row>
    <row r="62">
      <c r="C62" s="107"/>
      <c r="D62" s="108"/>
      <c r="E62" s="114"/>
      <c r="F62" s="107"/>
      <c r="H62" s="111"/>
      <c r="I62" s="111"/>
      <c r="J62" s="115"/>
      <c r="K62" s="107"/>
      <c r="L62" s="49"/>
      <c r="M62" s="107"/>
      <c r="N62" s="116"/>
    </row>
    <row r="63">
      <c r="C63" s="107"/>
      <c r="D63" s="108"/>
      <c r="E63" s="114"/>
      <c r="F63" s="107"/>
      <c r="H63" s="111"/>
      <c r="I63" s="111"/>
      <c r="J63" s="115"/>
      <c r="K63" s="107"/>
      <c r="L63" s="49"/>
      <c r="M63" s="107"/>
      <c r="N63" s="116"/>
    </row>
    <row r="64">
      <c r="C64" s="107"/>
      <c r="D64" s="108"/>
      <c r="E64" s="114"/>
      <c r="F64" s="107"/>
      <c r="H64" s="111"/>
      <c r="I64" s="111"/>
      <c r="J64" s="115"/>
      <c r="K64" s="107"/>
      <c r="L64" s="49"/>
      <c r="M64" s="107"/>
      <c r="N64" s="116"/>
    </row>
    <row r="65">
      <c r="C65" s="107"/>
      <c r="D65" s="108"/>
      <c r="E65" s="114"/>
      <c r="F65" s="107"/>
      <c r="H65" s="111"/>
      <c r="I65" s="111"/>
      <c r="J65" s="115"/>
      <c r="K65" s="107"/>
      <c r="L65" s="49"/>
      <c r="M65" s="107"/>
      <c r="N65" s="116"/>
    </row>
    <row r="66">
      <c r="C66" s="107"/>
      <c r="D66" s="108"/>
      <c r="E66" s="114"/>
      <c r="F66" s="107"/>
      <c r="H66" s="111"/>
      <c r="I66" s="111"/>
      <c r="J66" s="115"/>
      <c r="K66" s="107"/>
      <c r="L66" s="49"/>
      <c r="M66" s="107"/>
      <c r="N66" s="116"/>
    </row>
    <row r="67">
      <c r="C67" s="107"/>
      <c r="D67" s="108"/>
      <c r="E67" s="114"/>
      <c r="F67" s="107"/>
      <c r="H67" s="111"/>
      <c r="I67" s="111"/>
      <c r="J67" s="115"/>
      <c r="K67" s="107"/>
      <c r="L67" s="49"/>
      <c r="M67" s="107"/>
      <c r="N67" s="116"/>
    </row>
    <row r="68">
      <c r="C68" s="107"/>
      <c r="D68" s="108"/>
      <c r="E68" s="114"/>
      <c r="F68" s="107"/>
      <c r="H68" s="111"/>
      <c r="I68" s="111"/>
      <c r="J68" s="115"/>
      <c r="K68" s="107"/>
      <c r="L68" s="49"/>
      <c r="M68" s="107"/>
      <c r="N68" s="116"/>
    </row>
    <row r="69">
      <c r="C69" s="107"/>
      <c r="D69" s="108"/>
      <c r="E69" s="114"/>
      <c r="F69" s="107"/>
      <c r="H69" s="111"/>
      <c r="I69" s="111"/>
      <c r="J69" s="115"/>
      <c r="K69" s="107"/>
      <c r="L69" s="49"/>
      <c r="M69" s="107"/>
      <c r="N69" s="116"/>
    </row>
    <row r="70">
      <c r="C70" s="107"/>
      <c r="D70" s="108"/>
      <c r="E70" s="114"/>
      <c r="F70" s="107"/>
      <c r="H70" s="111"/>
      <c r="I70" s="111"/>
      <c r="J70" s="115"/>
      <c r="K70" s="107"/>
      <c r="L70" s="49"/>
      <c r="M70" s="107"/>
      <c r="N70" s="116"/>
    </row>
    <row r="71">
      <c r="C71" s="107"/>
      <c r="D71" s="108"/>
      <c r="E71" s="114"/>
      <c r="F71" s="107"/>
      <c r="H71" s="111"/>
      <c r="I71" s="111"/>
      <c r="J71" s="115"/>
      <c r="K71" s="107"/>
      <c r="L71" s="49"/>
      <c r="M71" s="107"/>
      <c r="N71" s="116"/>
    </row>
    <row r="72">
      <c r="C72" s="107"/>
      <c r="D72" s="108"/>
      <c r="E72" s="114"/>
      <c r="F72" s="107"/>
      <c r="H72" s="111"/>
      <c r="I72" s="111"/>
      <c r="J72" s="115"/>
      <c r="K72" s="107"/>
      <c r="L72" s="49"/>
      <c r="M72" s="107"/>
      <c r="N72" s="116"/>
    </row>
    <row r="73">
      <c r="C73" s="107"/>
      <c r="D73" s="108"/>
      <c r="E73" s="114"/>
      <c r="F73" s="107"/>
      <c r="H73" s="111"/>
      <c r="I73" s="111"/>
      <c r="J73" s="115"/>
      <c r="K73" s="107"/>
      <c r="L73" s="49"/>
      <c r="M73" s="107"/>
      <c r="N73" s="116"/>
    </row>
    <row r="74">
      <c r="C74" s="107"/>
      <c r="D74" s="108"/>
      <c r="E74" s="114"/>
      <c r="F74" s="107"/>
      <c r="H74" s="111"/>
      <c r="I74" s="111"/>
      <c r="J74" s="115"/>
      <c r="K74" s="107"/>
      <c r="L74" s="49"/>
      <c r="M74" s="107"/>
      <c r="N74" s="116"/>
    </row>
    <row r="75">
      <c r="C75" s="107"/>
      <c r="D75" s="108"/>
      <c r="E75" s="114"/>
      <c r="F75" s="107"/>
      <c r="H75" s="111"/>
      <c r="I75" s="111"/>
      <c r="J75" s="115"/>
      <c r="K75" s="107"/>
      <c r="L75" s="49"/>
      <c r="M75" s="107"/>
      <c r="N75" s="116"/>
    </row>
    <row r="76">
      <c r="C76" s="107"/>
      <c r="D76" s="108"/>
      <c r="E76" s="114"/>
      <c r="F76" s="107"/>
      <c r="H76" s="111"/>
      <c r="I76" s="111"/>
      <c r="J76" s="115"/>
      <c r="K76" s="107"/>
      <c r="L76" s="49"/>
      <c r="M76" s="107"/>
      <c r="N76" s="116"/>
    </row>
    <row r="77">
      <c r="C77" s="107"/>
      <c r="D77" s="108"/>
      <c r="E77" s="114"/>
      <c r="F77" s="107"/>
      <c r="H77" s="111"/>
      <c r="I77" s="111"/>
      <c r="J77" s="115"/>
      <c r="K77" s="107"/>
      <c r="L77" s="49"/>
      <c r="M77" s="107"/>
      <c r="N77" s="116"/>
    </row>
    <row r="78">
      <c r="C78" s="107"/>
      <c r="D78" s="108"/>
      <c r="E78" s="114"/>
      <c r="F78" s="107"/>
      <c r="H78" s="111"/>
      <c r="I78" s="111"/>
      <c r="J78" s="115"/>
      <c r="K78" s="107"/>
      <c r="L78" s="49"/>
      <c r="M78" s="107"/>
      <c r="N78" s="116"/>
    </row>
    <row r="79">
      <c r="C79" s="107"/>
      <c r="D79" s="108"/>
      <c r="E79" s="114"/>
      <c r="F79" s="107"/>
      <c r="H79" s="111"/>
      <c r="I79" s="111"/>
      <c r="J79" s="115"/>
      <c r="K79" s="107"/>
      <c r="L79" s="49"/>
      <c r="M79" s="107"/>
      <c r="N79" s="116"/>
    </row>
    <row r="80">
      <c r="C80" s="107"/>
      <c r="D80" s="108"/>
      <c r="E80" s="114"/>
      <c r="F80" s="107"/>
      <c r="H80" s="111"/>
      <c r="I80" s="111"/>
      <c r="J80" s="115"/>
      <c r="K80" s="107"/>
      <c r="L80" s="49"/>
      <c r="M80" s="107"/>
      <c r="N80" s="116"/>
    </row>
    <row r="81">
      <c r="C81" s="107"/>
      <c r="D81" s="108"/>
      <c r="E81" s="114"/>
      <c r="F81" s="107"/>
      <c r="H81" s="111"/>
      <c r="I81" s="111"/>
      <c r="J81" s="115"/>
      <c r="K81" s="107"/>
      <c r="L81" s="49"/>
      <c r="M81" s="107"/>
      <c r="N81" s="116"/>
    </row>
    <row r="82">
      <c r="C82" s="107"/>
      <c r="D82" s="108"/>
      <c r="E82" s="114"/>
      <c r="F82" s="107"/>
      <c r="H82" s="111"/>
      <c r="I82" s="111"/>
      <c r="J82" s="115"/>
      <c r="K82" s="107"/>
      <c r="L82" s="49"/>
      <c r="M82" s="107"/>
      <c r="N82" s="116"/>
    </row>
    <row r="83">
      <c r="C83" s="107"/>
      <c r="D83" s="108"/>
      <c r="E83" s="114"/>
      <c r="F83" s="107"/>
      <c r="H83" s="111"/>
      <c r="I83" s="111"/>
      <c r="J83" s="115"/>
      <c r="K83" s="107"/>
      <c r="L83" s="49"/>
      <c r="M83" s="107"/>
      <c r="N83" s="116"/>
    </row>
    <row r="84">
      <c r="C84" s="107"/>
      <c r="D84" s="108"/>
      <c r="E84" s="114"/>
      <c r="F84" s="107"/>
      <c r="H84" s="111"/>
      <c r="I84" s="111"/>
      <c r="J84" s="115"/>
      <c r="K84" s="107"/>
      <c r="L84" s="49"/>
      <c r="M84" s="107"/>
      <c r="N84" s="116"/>
    </row>
    <row r="85">
      <c r="C85" s="107"/>
      <c r="D85" s="108"/>
      <c r="E85" s="114"/>
      <c r="F85" s="107"/>
      <c r="H85" s="111"/>
      <c r="I85" s="111"/>
      <c r="J85" s="115"/>
      <c r="K85" s="107"/>
      <c r="L85" s="49"/>
      <c r="M85" s="107"/>
      <c r="N85" s="116"/>
    </row>
    <row r="86">
      <c r="C86" s="107"/>
      <c r="D86" s="108"/>
      <c r="E86" s="114"/>
      <c r="F86" s="107"/>
      <c r="H86" s="111"/>
      <c r="I86" s="111"/>
      <c r="J86" s="115"/>
      <c r="K86" s="107"/>
      <c r="L86" s="49"/>
      <c r="M86" s="107"/>
      <c r="N86" s="116"/>
    </row>
    <row r="87">
      <c r="C87" s="107"/>
      <c r="D87" s="108"/>
      <c r="E87" s="114"/>
      <c r="F87" s="107"/>
      <c r="H87" s="111"/>
      <c r="I87" s="111"/>
      <c r="J87" s="115"/>
      <c r="K87" s="107"/>
      <c r="L87" s="49"/>
      <c r="M87" s="107"/>
      <c r="N87" s="116"/>
    </row>
    <row r="88">
      <c r="C88" s="107"/>
      <c r="D88" s="108"/>
      <c r="E88" s="114"/>
      <c r="F88" s="107"/>
      <c r="H88" s="111"/>
      <c r="I88" s="111"/>
      <c r="J88" s="115"/>
      <c r="K88" s="107"/>
      <c r="L88" s="49"/>
      <c r="M88" s="107"/>
      <c r="N88" s="116"/>
    </row>
    <row r="89">
      <c r="C89" s="107"/>
      <c r="D89" s="108"/>
      <c r="E89" s="114"/>
      <c r="F89" s="107"/>
      <c r="H89" s="111"/>
      <c r="I89" s="111"/>
      <c r="J89" s="115"/>
      <c r="K89" s="107"/>
      <c r="L89" s="49"/>
      <c r="M89" s="107"/>
      <c r="N89" s="116"/>
    </row>
    <row r="90">
      <c r="C90" s="107"/>
      <c r="D90" s="108"/>
      <c r="E90" s="114"/>
      <c r="F90" s="107"/>
      <c r="H90" s="111"/>
      <c r="I90" s="111"/>
      <c r="J90" s="115"/>
      <c r="K90" s="107"/>
      <c r="L90" s="49"/>
      <c r="M90" s="107"/>
      <c r="N90" s="116"/>
    </row>
    <row r="91">
      <c r="C91" s="107"/>
      <c r="D91" s="108"/>
      <c r="E91" s="114"/>
      <c r="F91" s="107"/>
      <c r="H91" s="111"/>
      <c r="I91" s="111"/>
      <c r="J91" s="115"/>
      <c r="K91" s="107"/>
      <c r="L91" s="49"/>
      <c r="M91" s="107"/>
      <c r="N91" s="116"/>
    </row>
    <row r="92">
      <c r="C92" s="107"/>
      <c r="D92" s="108"/>
      <c r="E92" s="114"/>
      <c r="F92" s="107"/>
      <c r="H92" s="111"/>
      <c r="I92" s="111"/>
      <c r="J92" s="115"/>
      <c r="K92" s="107"/>
      <c r="L92" s="49"/>
      <c r="M92" s="107"/>
      <c r="N92" s="116"/>
    </row>
    <row r="93">
      <c r="C93" s="107"/>
      <c r="D93" s="108"/>
      <c r="E93" s="114"/>
      <c r="F93" s="107"/>
      <c r="H93" s="111"/>
      <c r="I93" s="111"/>
      <c r="J93" s="115"/>
      <c r="K93" s="107"/>
      <c r="L93" s="49"/>
      <c r="M93" s="107"/>
      <c r="N93" s="116"/>
    </row>
    <row r="94">
      <c r="C94" s="107"/>
      <c r="D94" s="108"/>
      <c r="E94" s="114"/>
      <c r="F94" s="107"/>
      <c r="H94" s="111"/>
      <c r="I94" s="111"/>
      <c r="J94" s="115"/>
      <c r="K94" s="107"/>
      <c r="L94" s="49"/>
      <c r="M94" s="107"/>
      <c r="N94" s="116"/>
    </row>
    <row r="95">
      <c r="C95" s="107"/>
      <c r="D95" s="108"/>
      <c r="E95" s="114"/>
      <c r="F95" s="107"/>
      <c r="H95" s="111"/>
      <c r="I95" s="111"/>
      <c r="J95" s="115"/>
      <c r="K95" s="107"/>
      <c r="L95" s="49"/>
      <c r="M95" s="107"/>
      <c r="N95" s="116"/>
    </row>
    <row r="96">
      <c r="C96" s="107"/>
      <c r="D96" s="108"/>
      <c r="E96" s="114"/>
      <c r="F96" s="107"/>
      <c r="H96" s="111"/>
      <c r="I96" s="111"/>
      <c r="J96" s="115"/>
      <c r="K96" s="107"/>
      <c r="L96" s="49"/>
      <c r="M96" s="107"/>
      <c r="N96" s="116"/>
    </row>
    <row r="97">
      <c r="C97" s="107"/>
      <c r="D97" s="108"/>
      <c r="E97" s="114"/>
      <c r="F97" s="107"/>
      <c r="H97" s="111"/>
      <c r="I97" s="111"/>
      <c r="J97" s="115"/>
      <c r="K97" s="107"/>
      <c r="L97" s="49"/>
      <c r="M97" s="107"/>
      <c r="N97" s="116"/>
    </row>
    <row r="98">
      <c r="C98" s="107"/>
      <c r="D98" s="108"/>
      <c r="E98" s="114"/>
      <c r="F98" s="107"/>
      <c r="H98" s="111"/>
      <c r="I98" s="111"/>
      <c r="J98" s="115"/>
      <c r="K98" s="107"/>
      <c r="L98" s="49"/>
      <c r="M98" s="107"/>
      <c r="N98" s="116"/>
    </row>
    <row r="99">
      <c r="C99" s="107"/>
      <c r="D99" s="108"/>
      <c r="E99" s="114"/>
      <c r="F99" s="107"/>
      <c r="H99" s="111"/>
      <c r="I99" s="111"/>
      <c r="J99" s="115"/>
      <c r="K99" s="107"/>
      <c r="L99" s="49"/>
      <c r="M99" s="107"/>
      <c r="N99" s="116"/>
    </row>
    <row r="100">
      <c r="C100" s="107"/>
      <c r="D100" s="108"/>
      <c r="E100" s="114"/>
      <c r="F100" s="107"/>
      <c r="H100" s="111"/>
      <c r="I100" s="111"/>
      <c r="J100" s="115"/>
      <c r="K100" s="107"/>
      <c r="L100" s="49"/>
      <c r="M100" s="107"/>
      <c r="N100" s="116"/>
    </row>
    <row r="101">
      <c r="C101" s="107"/>
      <c r="D101" s="108"/>
      <c r="E101" s="114"/>
      <c r="F101" s="107"/>
      <c r="H101" s="111"/>
      <c r="I101" s="111"/>
      <c r="J101" s="115"/>
      <c r="K101" s="107"/>
      <c r="L101" s="49"/>
      <c r="M101" s="107"/>
      <c r="N101" s="116"/>
    </row>
    <row r="102">
      <c r="C102" s="107"/>
      <c r="D102" s="108"/>
      <c r="E102" s="114"/>
      <c r="F102" s="107"/>
      <c r="H102" s="111"/>
      <c r="I102" s="111"/>
      <c r="J102" s="115"/>
      <c r="K102" s="107"/>
      <c r="L102" s="49"/>
      <c r="M102" s="107"/>
      <c r="N102" s="116"/>
    </row>
    <row r="103">
      <c r="C103" s="107"/>
      <c r="D103" s="108"/>
      <c r="E103" s="114"/>
      <c r="F103" s="107"/>
      <c r="H103" s="111"/>
      <c r="I103" s="111"/>
      <c r="J103" s="115"/>
      <c r="K103" s="107"/>
      <c r="L103" s="49"/>
      <c r="M103" s="107"/>
      <c r="N103" s="116"/>
    </row>
    <row r="104">
      <c r="C104" s="107"/>
      <c r="D104" s="108"/>
      <c r="E104" s="114"/>
      <c r="F104" s="107"/>
      <c r="H104" s="111"/>
      <c r="I104" s="111"/>
      <c r="J104" s="115"/>
      <c r="K104" s="107"/>
      <c r="L104" s="49"/>
      <c r="M104" s="107"/>
      <c r="N104" s="116"/>
    </row>
    <row r="105">
      <c r="C105" s="107"/>
      <c r="D105" s="108"/>
      <c r="E105" s="114"/>
      <c r="F105" s="107"/>
      <c r="H105" s="111"/>
      <c r="I105" s="111"/>
      <c r="J105" s="115"/>
      <c r="K105" s="107"/>
      <c r="L105" s="49"/>
      <c r="M105" s="107"/>
      <c r="N105" s="116"/>
    </row>
    <row r="106">
      <c r="C106" s="107"/>
      <c r="D106" s="108"/>
      <c r="E106" s="114"/>
      <c r="F106" s="107"/>
      <c r="H106" s="111"/>
      <c r="I106" s="111"/>
      <c r="J106" s="115"/>
      <c r="K106" s="107"/>
      <c r="L106" s="49"/>
      <c r="M106" s="107"/>
      <c r="N106" s="116"/>
    </row>
    <row r="107">
      <c r="C107" s="107"/>
      <c r="D107" s="108"/>
      <c r="E107" s="114"/>
      <c r="F107" s="107"/>
      <c r="H107" s="111"/>
      <c r="I107" s="111"/>
      <c r="J107" s="115"/>
      <c r="K107" s="107"/>
      <c r="L107" s="49"/>
      <c r="M107" s="107"/>
      <c r="N107" s="116"/>
    </row>
    <row r="108">
      <c r="C108" s="107"/>
      <c r="D108" s="108"/>
      <c r="E108" s="114"/>
      <c r="F108" s="107"/>
      <c r="H108" s="111"/>
      <c r="I108" s="111"/>
      <c r="J108" s="115"/>
      <c r="K108" s="107"/>
      <c r="L108" s="49"/>
      <c r="M108" s="107"/>
      <c r="N108" s="116"/>
    </row>
    <row r="109">
      <c r="C109" s="107"/>
      <c r="D109" s="108"/>
      <c r="E109" s="114"/>
      <c r="F109" s="107"/>
      <c r="H109" s="111"/>
      <c r="I109" s="111"/>
      <c r="J109" s="115"/>
      <c r="K109" s="107"/>
      <c r="L109" s="49"/>
      <c r="M109" s="107"/>
      <c r="N109" s="116"/>
    </row>
    <row r="110">
      <c r="C110" s="107"/>
      <c r="D110" s="108"/>
      <c r="E110" s="114"/>
      <c r="F110" s="107"/>
      <c r="H110" s="111"/>
      <c r="I110" s="111"/>
      <c r="J110" s="115"/>
      <c r="K110" s="107"/>
      <c r="L110" s="49"/>
      <c r="M110" s="107"/>
      <c r="N110" s="116"/>
    </row>
    <row r="111">
      <c r="C111" s="107"/>
      <c r="D111" s="108"/>
      <c r="E111" s="114"/>
      <c r="F111" s="107"/>
      <c r="H111" s="111"/>
      <c r="I111" s="111"/>
      <c r="J111" s="115"/>
      <c r="K111" s="107"/>
      <c r="L111" s="49"/>
      <c r="M111" s="107"/>
      <c r="N111" s="116"/>
    </row>
    <row r="112">
      <c r="C112" s="107"/>
      <c r="D112" s="108"/>
      <c r="E112" s="114"/>
      <c r="F112" s="107"/>
      <c r="H112" s="111"/>
      <c r="I112" s="111"/>
      <c r="J112" s="115"/>
      <c r="K112" s="107"/>
      <c r="L112" s="49"/>
      <c r="M112" s="107"/>
      <c r="N112" s="116"/>
    </row>
    <row r="113">
      <c r="C113" s="107"/>
      <c r="D113" s="108"/>
      <c r="E113" s="114"/>
      <c r="F113" s="107"/>
      <c r="H113" s="111"/>
      <c r="I113" s="111"/>
      <c r="J113" s="115"/>
      <c r="K113" s="107"/>
      <c r="L113" s="49"/>
      <c r="M113" s="107"/>
      <c r="N113" s="116"/>
    </row>
    <row r="114">
      <c r="C114" s="107"/>
      <c r="D114" s="108"/>
      <c r="E114" s="114"/>
      <c r="F114" s="107"/>
      <c r="H114" s="111"/>
      <c r="I114" s="111"/>
      <c r="J114" s="115"/>
      <c r="K114" s="107"/>
      <c r="L114" s="49"/>
      <c r="M114" s="107"/>
      <c r="N114" s="116"/>
    </row>
    <row r="115">
      <c r="C115" s="107"/>
      <c r="D115" s="108"/>
      <c r="E115" s="114"/>
      <c r="F115" s="107"/>
      <c r="H115" s="111"/>
      <c r="I115" s="111"/>
      <c r="J115" s="115"/>
      <c r="K115" s="107"/>
      <c r="L115" s="49"/>
      <c r="M115" s="107"/>
      <c r="N115" s="116"/>
    </row>
    <row r="116">
      <c r="C116" s="107"/>
      <c r="D116" s="108"/>
      <c r="E116" s="114"/>
      <c r="F116" s="107"/>
      <c r="H116" s="111"/>
      <c r="I116" s="111"/>
      <c r="J116" s="115"/>
      <c r="K116" s="107"/>
      <c r="L116" s="49"/>
      <c r="M116" s="107"/>
      <c r="N116" s="116"/>
    </row>
    <row r="117">
      <c r="C117" s="107"/>
      <c r="D117" s="108"/>
      <c r="E117" s="114"/>
      <c r="F117" s="107"/>
      <c r="H117" s="111"/>
      <c r="I117" s="111"/>
      <c r="J117" s="115"/>
      <c r="K117" s="107"/>
      <c r="L117" s="49"/>
      <c r="M117" s="107"/>
      <c r="N117" s="116"/>
    </row>
    <row r="118">
      <c r="C118" s="107"/>
      <c r="D118" s="108"/>
      <c r="E118" s="114"/>
      <c r="F118" s="107"/>
      <c r="H118" s="111"/>
      <c r="I118" s="111"/>
      <c r="J118" s="115"/>
      <c r="K118" s="107"/>
      <c r="L118" s="49"/>
      <c r="M118" s="107"/>
      <c r="N118" s="116"/>
    </row>
    <row r="119">
      <c r="C119" s="107"/>
      <c r="D119" s="108"/>
      <c r="E119" s="114"/>
      <c r="F119" s="107"/>
      <c r="H119" s="111"/>
      <c r="I119" s="111"/>
      <c r="J119" s="115"/>
      <c r="K119" s="107"/>
      <c r="L119" s="49"/>
      <c r="M119" s="107"/>
      <c r="N119" s="116"/>
    </row>
    <row r="120">
      <c r="C120" s="107"/>
      <c r="D120" s="108"/>
      <c r="E120" s="114"/>
      <c r="F120" s="107"/>
      <c r="H120" s="111"/>
      <c r="I120" s="111"/>
      <c r="J120" s="115"/>
      <c r="K120" s="107"/>
      <c r="L120" s="49"/>
      <c r="M120" s="107"/>
      <c r="N120" s="116"/>
    </row>
    <row r="121">
      <c r="C121" s="107"/>
      <c r="D121" s="108"/>
      <c r="E121" s="114"/>
      <c r="F121" s="107"/>
      <c r="H121" s="111"/>
      <c r="I121" s="111"/>
      <c r="J121" s="115"/>
      <c r="K121" s="107"/>
      <c r="L121" s="49"/>
      <c r="M121" s="107"/>
      <c r="N121" s="116"/>
    </row>
    <row r="122">
      <c r="C122" s="107"/>
      <c r="D122" s="108"/>
      <c r="E122" s="114"/>
      <c r="F122" s="107"/>
      <c r="H122" s="111"/>
      <c r="I122" s="111"/>
      <c r="J122" s="115"/>
      <c r="K122" s="107"/>
      <c r="L122" s="49"/>
      <c r="M122" s="107"/>
      <c r="N122" s="116"/>
    </row>
    <row r="123">
      <c r="C123" s="107"/>
      <c r="D123" s="108"/>
      <c r="E123" s="114"/>
      <c r="F123" s="107"/>
      <c r="H123" s="111"/>
      <c r="I123" s="111"/>
      <c r="J123" s="115"/>
      <c r="K123" s="107"/>
      <c r="L123" s="49"/>
      <c r="M123" s="107"/>
      <c r="N123" s="116"/>
    </row>
    <row r="124">
      <c r="C124" s="107"/>
      <c r="D124" s="108"/>
      <c r="E124" s="114"/>
      <c r="F124" s="107"/>
      <c r="H124" s="111"/>
      <c r="I124" s="111"/>
      <c r="J124" s="115"/>
      <c r="K124" s="107"/>
      <c r="L124" s="49"/>
      <c r="M124" s="107"/>
      <c r="N124" s="116"/>
    </row>
    <row r="125">
      <c r="C125" s="107"/>
      <c r="D125" s="108"/>
      <c r="E125" s="114"/>
      <c r="F125" s="107"/>
      <c r="H125" s="111"/>
      <c r="I125" s="111"/>
      <c r="J125" s="115"/>
      <c r="K125" s="107"/>
      <c r="L125" s="49"/>
      <c r="M125" s="107"/>
      <c r="N125" s="116"/>
    </row>
    <row r="126">
      <c r="C126" s="107"/>
      <c r="D126" s="108"/>
      <c r="E126" s="114"/>
      <c r="F126" s="107"/>
      <c r="H126" s="111"/>
      <c r="I126" s="111"/>
      <c r="J126" s="115"/>
      <c r="K126" s="107"/>
      <c r="L126" s="49"/>
      <c r="M126" s="107"/>
      <c r="N126" s="116"/>
    </row>
    <row r="127">
      <c r="C127" s="107"/>
      <c r="D127" s="108"/>
      <c r="E127" s="114"/>
      <c r="F127" s="107"/>
      <c r="H127" s="111"/>
      <c r="I127" s="111"/>
      <c r="J127" s="115"/>
      <c r="K127" s="107"/>
      <c r="L127" s="49"/>
      <c r="M127" s="107"/>
      <c r="N127" s="116"/>
    </row>
    <row r="128">
      <c r="C128" s="107"/>
      <c r="D128" s="108"/>
      <c r="E128" s="114"/>
      <c r="F128" s="107"/>
      <c r="H128" s="111"/>
      <c r="I128" s="111"/>
      <c r="J128" s="115"/>
      <c r="K128" s="107"/>
      <c r="L128" s="49"/>
      <c r="M128" s="107"/>
      <c r="N128" s="116"/>
    </row>
    <row r="129">
      <c r="C129" s="107"/>
      <c r="D129" s="108"/>
      <c r="E129" s="114"/>
      <c r="F129" s="107"/>
      <c r="H129" s="111"/>
      <c r="I129" s="111"/>
      <c r="J129" s="115"/>
      <c r="K129" s="107"/>
      <c r="L129" s="49"/>
      <c r="M129" s="107"/>
      <c r="N129" s="116"/>
    </row>
    <row r="130">
      <c r="C130" s="107"/>
      <c r="D130" s="108"/>
      <c r="E130" s="114"/>
      <c r="F130" s="107"/>
      <c r="H130" s="111"/>
      <c r="I130" s="111"/>
      <c r="J130" s="115"/>
      <c r="K130" s="107"/>
      <c r="L130" s="49"/>
      <c r="M130" s="107"/>
      <c r="N130" s="116"/>
    </row>
    <row r="131">
      <c r="C131" s="107"/>
      <c r="D131" s="108"/>
      <c r="E131" s="114"/>
      <c r="F131" s="107"/>
      <c r="H131" s="111"/>
      <c r="I131" s="111"/>
      <c r="J131" s="115"/>
      <c r="K131" s="107"/>
      <c r="L131" s="49"/>
      <c r="M131" s="107"/>
      <c r="N131" s="116"/>
    </row>
    <row r="132">
      <c r="C132" s="107"/>
      <c r="D132" s="108"/>
      <c r="E132" s="114"/>
      <c r="F132" s="107"/>
      <c r="H132" s="111"/>
      <c r="I132" s="111"/>
      <c r="J132" s="115"/>
      <c r="K132" s="107"/>
      <c r="L132" s="49"/>
      <c r="M132" s="107"/>
      <c r="N132" s="116"/>
    </row>
    <row r="133">
      <c r="C133" s="107"/>
      <c r="D133" s="108"/>
      <c r="E133" s="114"/>
      <c r="F133" s="107"/>
      <c r="H133" s="111"/>
      <c r="I133" s="111"/>
      <c r="J133" s="115"/>
      <c r="K133" s="107"/>
      <c r="L133" s="49"/>
      <c r="M133" s="107"/>
      <c r="N133" s="116"/>
    </row>
    <row r="134">
      <c r="C134" s="107"/>
      <c r="D134" s="108"/>
      <c r="E134" s="114"/>
      <c r="F134" s="107"/>
      <c r="H134" s="111"/>
      <c r="I134" s="111"/>
      <c r="J134" s="115"/>
      <c r="K134" s="107"/>
      <c r="L134" s="49"/>
      <c r="M134" s="107"/>
      <c r="N134" s="116"/>
    </row>
    <row r="135">
      <c r="C135" s="107"/>
      <c r="D135" s="108"/>
      <c r="E135" s="114"/>
      <c r="F135" s="107"/>
      <c r="H135" s="111"/>
      <c r="I135" s="111"/>
      <c r="J135" s="115"/>
      <c r="K135" s="107"/>
      <c r="L135" s="49"/>
      <c r="M135" s="107"/>
      <c r="N135" s="116"/>
    </row>
    <row r="136">
      <c r="C136" s="107"/>
      <c r="D136" s="108"/>
      <c r="E136" s="114"/>
      <c r="F136" s="107"/>
      <c r="H136" s="111"/>
      <c r="I136" s="111"/>
      <c r="J136" s="115"/>
      <c r="K136" s="107"/>
      <c r="L136" s="49"/>
      <c r="M136" s="107"/>
      <c r="N136" s="116"/>
    </row>
    <row r="137">
      <c r="C137" s="107"/>
      <c r="D137" s="108"/>
      <c r="E137" s="114"/>
      <c r="F137" s="107"/>
      <c r="H137" s="111"/>
      <c r="I137" s="111"/>
      <c r="J137" s="115"/>
      <c r="K137" s="107"/>
      <c r="L137" s="49"/>
      <c r="M137" s="107"/>
      <c r="N137" s="116"/>
    </row>
    <row r="138">
      <c r="C138" s="107"/>
      <c r="D138" s="108"/>
      <c r="E138" s="114"/>
      <c r="F138" s="107"/>
      <c r="H138" s="111"/>
      <c r="I138" s="111"/>
      <c r="J138" s="115"/>
      <c r="K138" s="107"/>
      <c r="L138" s="49"/>
      <c r="M138" s="107"/>
      <c r="N138" s="116"/>
    </row>
    <row r="139">
      <c r="C139" s="107"/>
      <c r="D139" s="108"/>
      <c r="E139" s="114"/>
      <c r="F139" s="107"/>
      <c r="H139" s="111"/>
      <c r="I139" s="111"/>
      <c r="J139" s="115"/>
      <c r="K139" s="107"/>
      <c r="L139" s="49"/>
      <c r="M139" s="107"/>
      <c r="N139" s="116"/>
    </row>
    <row r="140">
      <c r="C140" s="107"/>
      <c r="D140" s="108"/>
      <c r="E140" s="114"/>
      <c r="F140" s="107"/>
      <c r="H140" s="111"/>
      <c r="I140" s="111"/>
      <c r="J140" s="115"/>
      <c r="K140" s="107"/>
      <c r="L140" s="49"/>
      <c r="M140" s="107"/>
      <c r="N140" s="116"/>
    </row>
    <row r="141">
      <c r="C141" s="107"/>
      <c r="D141" s="108"/>
      <c r="E141" s="114"/>
      <c r="F141" s="107"/>
      <c r="H141" s="111"/>
      <c r="I141" s="111"/>
      <c r="J141" s="115"/>
      <c r="K141" s="107"/>
      <c r="L141" s="49"/>
      <c r="M141" s="107"/>
      <c r="N141" s="116"/>
    </row>
    <row r="142">
      <c r="C142" s="107"/>
      <c r="D142" s="108"/>
      <c r="E142" s="114"/>
      <c r="F142" s="107"/>
      <c r="H142" s="111"/>
      <c r="I142" s="111"/>
      <c r="J142" s="115"/>
      <c r="K142" s="107"/>
      <c r="L142" s="49"/>
      <c r="M142" s="107"/>
      <c r="N142" s="116"/>
    </row>
    <row r="143">
      <c r="C143" s="107"/>
      <c r="D143" s="108"/>
      <c r="E143" s="114"/>
      <c r="F143" s="107"/>
      <c r="H143" s="111"/>
      <c r="I143" s="111"/>
      <c r="J143" s="115"/>
      <c r="K143" s="107"/>
      <c r="L143" s="49"/>
      <c r="M143" s="107"/>
      <c r="N143" s="116"/>
    </row>
    <row r="144">
      <c r="C144" s="107"/>
      <c r="D144" s="108"/>
      <c r="E144" s="114"/>
      <c r="F144" s="107"/>
      <c r="H144" s="111"/>
      <c r="I144" s="111"/>
      <c r="J144" s="115"/>
      <c r="K144" s="107"/>
      <c r="L144" s="49"/>
      <c r="M144" s="107"/>
      <c r="N144" s="116"/>
    </row>
    <row r="145">
      <c r="C145" s="107"/>
      <c r="D145" s="108"/>
      <c r="E145" s="114"/>
      <c r="F145" s="107"/>
      <c r="H145" s="111"/>
      <c r="I145" s="111"/>
      <c r="J145" s="115"/>
      <c r="K145" s="107"/>
      <c r="L145" s="49"/>
      <c r="M145" s="107"/>
      <c r="N145" s="116"/>
    </row>
    <row r="146">
      <c r="C146" s="107"/>
      <c r="D146" s="108"/>
      <c r="E146" s="114"/>
      <c r="F146" s="107"/>
      <c r="H146" s="111"/>
      <c r="I146" s="111"/>
      <c r="J146" s="115"/>
      <c r="K146" s="107"/>
      <c r="L146" s="49"/>
      <c r="M146" s="107"/>
      <c r="N146" s="116"/>
    </row>
    <row r="147">
      <c r="C147" s="107"/>
      <c r="D147" s="108"/>
      <c r="E147" s="114"/>
      <c r="F147" s="107"/>
      <c r="H147" s="111"/>
      <c r="I147" s="111"/>
      <c r="J147" s="115"/>
      <c r="K147" s="107"/>
      <c r="L147" s="49"/>
      <c r="M147" s="107"/>
      <c r="N147" s="116"/>
    </row>
    <row r="148">
      <c r="C148" s="107"/>
      <c r="D148" s="108"/>
      <c r="E148" s="114"/>
      <c r="F148" s="107"/>
      <c r="H148" s="111"/>
      <c r="I148" s="111"/>
      <c r="J148" s="115"/>
      <c r="K148" s="107"/>
      <c r="L148" s="49"/>
      <c r="M148" s="107"/>
      <c r="N148" s="116"/>
    </row>
    <row r="149">
      <c r="C149" s="107"/>
      <c r="D149" s="108"/>
      <c r="E149" s="114"/>
      <c r="F149" s="107"/>
      <c r="H149" s="111"/>
      <c r="I149" s="111"/>
      <c r="J149" s="115"/>
      <c r="K149" s="107"/>
      <c r="L149" s="49"/>
      <c r="M149" s="107"/>
      <c r="N149" s="116"/>
    </row>
    <row r="150">
      <c r="C150" s="107"/>
      <c r="D150" s="108"/>
      <c r="E150" s="114"/>
      <c r="F150" s="107"/>
      <c r="H150" s="111"/>
      <c r="I150" s="111"/>
      <c r="J150" s="115"/>
      <c r="K150" s="107"/>
      <c r="L150" s="49"/>
      <c r="M150" s="107"/>
      <c r="N150" s="116"/>
    </row>
    <row r="151">
      <c r="C151" s="107"/>
      <c r="D151" s="108"/>
      <c r="E151" s="114"/>
      <c r="F151" s="107"/>
      <c r="H151" s="111"/>
      <c r="I151" s="111"/>
      <c r="J151" s="115"/>
      <c r="K151" s="107"/>
      <c r="L151" s="49"/>
      <c r="M151" s="107"/>
      <c r="N151" s="116"/>
    </row>
    <row r="152">
      <c r="C152" s="107"/>
      <c r="D152" s="108"/>
      <c r="E152" s="114"/>
      <c r="F152" s="107"/>
      <c r="H152" s="111"/>
      <c r="I152" s="111"/>
      <c r="J152" s="115"/>
      <c r="K152" s="107"/>
      <c r="L152" s="49"/>
      <c r="M152" s="107"/>
      <c r="N152" s="116"/>
    </row>
    <row r="153">
      <c r="C153" s="107"/>
      <c r="D153" s="108"/>
      <c r="E153" s="114"/>
      <c r="F153" s="107"/>
      <c r="H153" s="111"/>
      <c r="I153" s="111"/>
      <c r="J153" s="115"/>
      <c r="K153" s="107"/>
      <c r="L153" s="49"/>
      <c r="M153" s="107"/>
      <c r="N153" s="116"/>
    </row>
    <row r="154">
      <c r="C154" s="107"/>
      <c r="D154" s="108"/>
      <c r="E154" s="114"/>
      <c r="F154" s="107"/>
      <c r="H154" s="111"/>
      <c r="I154" s="111"/>
      <c r="J154" s="115"/>
      <c r="K154" s="107"/>
      <c r="L154" s="49"/>
      <c r="M154" s="107"/>
      <c r="N154" s="116"/>
    </row>
    <row r="155">
      <c r="C155" s="107"/>
      <c r="D155" s="108"/>
      <c r="E155" s="114"/>
      <c r="F155" s="107"/>
      <c r="H155" s="111"/>
      <c r="I155" s="111"/>
      <c r="J155" s="115"/>
      <c r="K155" s="107"/>
      <c r="L155" s="49"/>
      <c r="M155" s="107"/>
      <c r="N155" s="116"/>
    </row>
    <row r="156">
      <c r="C156" s="107"/>
      <c r="D156" s="108"/>
      <c r="E156" s="114"/>
      <c r="F156" s="107"/>
      <c r="H156" s="111"/>
      <c r="I156" s="111"/>
      <c r="J156" s="115"/>
      <c r="K156" s="107"/>
      <c r="L156" s="49"/>
      <c r="M156" s="107"/>
      <c r="N156" s="116"/>
    </row>
    <row r="157">
      <c r="C157" s="107"/>
      <c r="D157" s="108"/>
      <c r="E157" s="114"/>
      <c r="F157" s="107"/>
      <c r="H157" s="111"/>
      <c r="I157" s="111"/>
      <c r="J157" s="115"/>
      <c r="K157" s="107"/>
      <c r="L157" s="49"/>
      <c r="M157" s="107"/>
      <c r="N157" s="116"/>
    </row>
    <row r="158">
      <c r="C158" s="107"/>
      <c r="D158" s="108"/>
      <c r="E158" s="114"/>
      <c r="F158" s="107"/>
      <c r="H158" s="111"/>
      <c r="I158" s="111"/>
      <c r="J158" s="115"/>
      <c r="K158" s="107"/>
      <c r="L158" s="49"/>
      <c r="M158" s="107"/>
      <c r="N158" s="116"/>
    </row>
    <row r="159">
      <c r="C159" s="107"/>
      <c r="D159" s="108"/>
      <c r="E159" s="114"/>
      <c r="F159" s="107"/>
      <c r="H159" s="111"/>
      <c r="I159" s="111"/>
      <c r="J159" s="115"/>
      <c r="K159" s="107"/>
      <c r="L159" s="49"/>
      <c r="M159" s="107"/>
      <c r="N159" s="116"/>
    </row>
    <row r="160">
      <c r="C160" s="107"/>
      <c r="D160" s="108"/>
      <c r="E160" s="114"/>
      <c r="F160" s="107"/>
      <c r="H160" s="111"/>
      <c r="I160" s="111"/>
      <c r="J160" s="115"/>
      <c r="K160" s="107"/>
      <c r="L160" s="49"/>
      <c r="M160" s="107"/>
      <c r="N160" s="116"/>
    </row>
    <row r="161">
      <c r="C161" s="107"/>
      <c r="D161" s="108"/>
      <c r="E161" s="114"/>
      <c r="F161" s="107"/>
      <c r="H161" s="111"/>
      <c r="I161" s="111"/>
      <c r="J161" s="115"/>
      <c r="K161" s="107"/>
      <c r="L161" s="49"/>
      <c r="M161" s="107"/>
      <c r="N161" s="116"/>
    </row>
    <row r="162">
      <c r="C162" s="107"/>
      <c r="D162" s="108"/>
      <c r="E162" s="114"/>
      <c r="F162" s="107"/>
      <c r="H162" s="111"/>
      <c r="I162" s="111"/>
      <c r="J162" s="115"/>
      <c r="K162" s="107"/>
      <c r="L162" s="49"/>
      <c r="M162" s="107"/>
      <c r="N162" s="116"/>
    </row>
    <row r="163">
      <c r="C163" s="107"/>
      <c r="D163" s="108"/>
      <c r="E163" s="114"/>
      <c r="F163" s="107"/>
      <c r="H163" s="111"/>
      <c r="I163" s="111"/>
      <c r="J163" s="115"/>
      <c r="K163" s="107"/>
      <c r="L163" s="49"/>
      <c r="M163" s="107"/>
      <c r="N163" s="116"/>
    </row>
    <row r="164">
      <c r="C164" s="107"/>
      <c r="D164" s="108"/>
      <c r="E164" s="114"/>
      <c r="F164" s="107"/>
      <c r="H164" s="111"/>
      <c r="I164" s="111"/>
      <c r="J164" s="115"/>
      <c r="K164" s="107"/>
      <c r="L164" s="49"/>
      <c r="M164" s="107"/>
      <c r="N164" s="116"/>
    </row>
    <row r="165">
      <c r="C165" s="107"/>
      <c r="D165" s="108"/>
      <c r="E165" s="114"/>
      <c r="F165" s="107"/>
      <c r="H165" s="111"/>
      <c r="I165" s="111"/>
      <c r="J165" s="115"/>
      <c r="K165" s="107"/>
      <c r="L165" s="49"/>
      <c r="M165" s="107"/>
      <c r="N165" s="116"/>
    </row>
    <row r="166">
      <c r="C166" s="107"/>
      <c r="D166" s="108"/>
      <c r="E166" s="114"/>
      <c r="F166" s="107"/>
      <c r="H166" s="111"/>
      <c r="I166" s="111"/>
      <c r="J166" s="115"/>
      <c r="K166" s="107"/>
      <c r="L166" s="49"/>
      <c r="M166" s="107"/>
      <c r="N166" s="116"/>
    </row>
    <row r="167">
      <c r="C167" s="107"/>
      <c r="D167" s="108"/>
      <c r="E167" s="114"/>
      <c r="F167" s="107"/>
      <c r="H167" s="111"/>
      <c r="I167" s="111"/>
      <c r="J167" s="115"/>
      <c r="K167" s="107"/>
      <c r="L167" s="49"/>
      <c r="M167" s="107"/>
      <c r="N167" s="116"/>
    </row>
    <row r="168">
      <c r="C168" s="107"/>
      <c r="D168" s="108"/>
      <c r="E168" s="114"/>
      <c r="F168" s="107"/>
      <c r="H168" s="111"/>
      <c r="I168" s="111"/>
      <c r="J168" s="115"/>
      <c r="K168" s="107"/>
      <c r="L168" s="49"/>
      <c r="M168" s="107"/>
      <c r="N168" s="116"/>
    </row>
    <row r="169">
      <c r="C169" s="107"/>
      <c r="D169" s="108"/>
      <c r="E169" s="114"/>
      <c r="F169" s="107"/>
      <c r="H169" s="111"/>
      <c r="I169" s="111"/>
      <c r="J169" s="115"/>
      <c r="K169" s="107"/>
      <c r="L169" s="49"/>
      <c r="M169" s="107"/>
      <c r="N169" s="116"/>
    </row>
    <row r="170">
      <c r="C170" s="107"/>
      <c r="D170" s="108"/>
      <c r="E170" s="114"/>
      <c r="F170" s="107"/>
      <c r="H170" s="111"/>
      <c r="I170" s="111"/>
      <c r="J170" s="115"/>
      <c r="K170" s="107"/>
      <c r="L170" s="49"/>
      <c r="M170" s="107"/>
      <c r="N170" s="116"/>
    </row>
    <row r="171">
      <c r="C171" s="107"/>
      <c r="D171" s="108"/>
      <c r="E171" s="114"/>
      <c r="F171" s="107"/>
      <c r="H171" s="111"/>
      <c r="I171" s="111"/>
      <c r="J171" s="115"/>
      <c r="K171" s="107"/>
      <c r="L171" s="49"/>
      <c r="M171" s="107"/>
      <c r="N171" s="116"/>
    </row>
    <row r="172">
      <c r="C172" s="107"/>
      <c r="D172" s="108"/>
      <c r="E172" s="114"/>
      <c r="F172" s="107"/>
      <c r="H172" s="111"/>
      <c r="I172" s="111"/>
      <c r="J172" s="115"/>
      <c r="K172" s="107"/>
      <c r="L172" s="49"/>
      <c r="M172" s="107"/>
      <c r="N172" s="116"/>
    </row>
    <row r="173">
      <c r="C173" s="107"/>
      <c r="D173" s="108"/>
      <c r="E173" s="114"/>
      <c r="F173" s="107"/>
      <c r="H173" s="111"/>
      <c r="I173" s="111"/>
      <c r="J173" s="115"/>
      <c r="K173" s="107"/>
      <c r="L173" s="49"/>
      <c r="M173" s="107"/>
      <c r="N173" s="116"/>
    </row>
    <row r="174">
      <c r="C174" s="107"/>
      <c r="D174" s="108"/>
      <c r="E174" s="114"/>
      <c r="F174" s="107"/>
      <c r="H174" s="111"/>
      <c r="I174" s="111"/>
      <c r="J174" s="115"/>
      <c r="K174" s="107"/>
      <c r="L174" s="49"/>
      <c r="M174" s="107"/>
      <c r="N174" s="116"/>
    </row>
    <row r="175">
      <c r="C175" s="107"/>
      <c r="D175" s="108"/>
      <c r="E175" s="114"/>
      <c r="F175" s="107"/>
      <c r="H175" s="111"/>
      <c r="I175" s="111"/>
      <c r="J175" s="115"/>
      <c r="K175" s="107"/>
      <c r="L175" s="49"/>
      <c r="M175" s="107"/>
      <c r="N175" s="116"/>
    </row>
    <row r="176">
      <c r="C176" s="107"/>
      <c r="D176" s="108"/>
      <c r="E176" s="114"/>
      <c r="F176" s="107"/>
      <c r="H176" s="111"/>
      <c r="I176" s="111"/>
      <c r="J176" s="115"/>
      <c r="K176" s="107"/>
      <c r="L176" s="49"/>
      <c r="M176" s="107"/>
      <c r="N176" s="116"/>
    </row>
    <row r="177">
      <c r="C177" s="107"/>
      <c r="D177" s="108"/>
      <c r="E177" s="114"/>
      <c r="F177" s="107"/>
      <c r="H177" s="111"/>
      <c r="I177" s="111"/>
      <c r="J177" s="115"/>
      <c r="K177" s="107"/>
      <c r="L177" s="49"/>
      <c r="M177" s="107"/>
      <c r="N177" s="116"/>
    </row>
    <row r="178">
      <c r="C178" s="107"/>
      <c r="D178" s="108"/>
      <c r="E178" s="114"/>
      <c r="F178" s="107"/>
      <c r="H178" s="111"/>
      <c r="I178" s="111"/>
      <c r="J178" s="115"/>
      <c r="K178" s="107"/>
      <c r="L178" s="49"/>
      <c r="M178" s="107"/>
      <c r="N178" s="116"/>
    </row>
    <row r="179">
      <c r="C179" s="107"/>
      <c r="D179" s="108"/>
      <c r="E179" s="114"/>
      <c r="F179" s="107"/>
      <c r="H179" s="111"/>
      <c r="I179" s="111"/>
      <c r="J179" s="115"/>
      <c r="K179" s="107"/>
      <c r="L179" s="49"/>
      <c r="M179" s="107"/>
      <c r="N179" s="116"/>
    </row>
    <row r="180">
      <c r="C180" s="107"/>
      <c r="D180" s="108"/>
      <c r="E180" s="114"/>
      <c r="F180" s="107"/>
      <c r="H180" s="111"/>
      <c r="I180" s="111"/>
      <c r="J180" s="115"/>
      <c r="K180" s="107"/>
      <c r="L180" s="49"/>
      <c r="M180" s="107"/>
      <c r="N180" s="116"/>
    </row>
    <row r="181">
      <c r="C181" s="107"/>
      <c r="D181" s="108"/>
      <c r="E181" s="114"/>
      <c r="F181" s="107"/>
      <c r="H181" s="111"/>
      <c r="I181" s="111"/>
      <c r="J181" s="115"/>
      <c r="K181" s="107"/>
      <c r="L181" s="49"/>
      <c r="M181" s="107"/>
      <c r="N181" s="116"/>
    </row>
    <row r="182">
      <c r="C182" s="107"/>
      <c r="D182" s="108"/>
      <c r="E182" s="114"/>
      <c r="F182" s="107"/>
      <c r="H182" s="111"/>
      <c r="I182" s="111"/>
      <c r="J182" s="115"/>
      <c r="K182" s="107"/>
      <c r="L182" s="49"/>
      <c r="M182" s="107"/>
      <c r="N182" s="116"/>
    </row>
    <row r="183">
      <c r="C183" s="107"/>
      <c r="D183" s="108"/>
      <c r="E183" s="114"/>
      <c r="F183" s="107"/>
      <c r="H183" s="111"/>
      <c r="I183" s="111"/>
      <c r="J183" s="115"/>
      <c r="K183" s="107"/>
      <c r="L183" s="49"/>
      <c r="M183" s="107"/>
      <c r="N183" s="116"/>
    </row>
    <row r="184">
      <c r="C184" s="107"/>
      <c r="D184" s="108"/>
      <c r="E184" s="114"/>
      <c r="F184" s="107"/>
      <c r="H184" s="111"/>
      <c r="I184" s="111"/>
      <c r="J184" s="115"/>
      <c r="K184" s="107"/>
      <c r="L184" s="49"/>
      <c r="M184" s="107"/>
      <c r="N184" s="116"/>
    </row>
    <row r="185">
      <c r="C185" s="107"/>
      <c r="D185" s="108"/>
      <c r="E185" s="114"/>
      <c r="F185" s="107"/>
      <c r="H185" s="111"/>
      <c r="I185" s="111"/>
      <c r="J185" s="115"/>
      <c r="K185" s="107"/>
      <c r="L185" s="49"/>
      <c r="M185" s="107"/>
      <c r="N185" s="116"/>
    </row>
    <row r="186">
      <c r="C186" s="107"/>
      <c r="D186" s="108"/>
      <c r="E186" s="114"/>
      <c r="F186" s="107"/>
      <c r="H186" s="111"/>
      <c r="I186" s="111"/>
      <c r="J186" s="115"/>
      <c r="K186" s="107"/>
      <c r="L186" s="49"/>
      <c r="M186" s="107"/>
      <c r="N186" s="116"/>
    </row>
    <row r="187">
      <c r="C187" s="107"/>
      <c r="D187" s="108"/>
      <c r="E187" s="114"/>
      <c r="F187" s="107"/>
      <c r="H187" s="111"/>
      <c r="I187" s="111"/>
      <c r="J187" s="115"/>
      <c r="K187" s="107"/>
      <c r="L187" s="49"/>
      <c r="M187" s="107"/>
      <c r="N187" s="116"/>
    </row>
    <row r="188">
      <c r="C188" s="107"/>
      <c r="D188" s="108"/>
      <c r="E188" s="114"/>
      <c r="F188" s="107"/>
      <c r="H188" s="111"/>
      <c r="I188" s="111"/>
      <c r="J188" s="115"/>
      <c r="K188" s="107"/>
      <c r="L188" s="49"/>
      <c r="M188" s="107"/>
      <c r="N188" s="116"/>
    </row>
    <row r="189">
      <c r="C189" s="107"/>
      <c r="D189" s="108"/>
      <c r="E189" s="114"/>
      <c r="F189" s="107"/>
      <c r="H189" s="111"/>
      <c r="I189" s="111"/>
      <c r="J189" s="115"/>
      <c r="K189" s="107"/>
      <c r="L189" s="49"/>
      <c r="M189" s="107"/>
      <c r="N189" s="116"/>
    </row>
    <row r="190">
      <c r="C190" s="107"/>
      <c r="D190" s="108"/>
      <c r="E190" s="114"/>
      <c r="F190" s="107"/>
      <c r="H190" s="111"/>
      <c r="I190" s="111"/>
      <c r="J190" s="115"/>
      <c r="K190" s="107"/>
      <c r="L190" s="49"/>
      <c r="M190" s="107"/>
      <c r="N190" s="116"/>
    </row>
    <row r="191">
      <c r="C191" s="107"/>
      <c r="D191" s="108"/>
      <c r="E191" s="114"/>
      <c r="F191" s="107"/>
      <c r="H191" s="111"/>
      <c r="I191" s="111"/>
      <c r="J191" s="115"/>
      <c r="K191" s="107"/>
      <c r="L191" s="49"/>
      <c r="M191" s="107"/>
      <c r="N191" s="116"/>
    </row>
    <row r="192">
      <c r="C192" s="107"/>
      <c r="D192" s="108"/>
      <c r="E192" s="114"/>
      <c r="F192" s="107"/>
      <c r="H192" s="111"/>
      <c r="I192" s="111"/>
      <c r="J192" s="115"/>
      <c r="K192" s="107"/>
      <c r="L192" s="49"/>
      <c r="M192" s="107"/>
      <c r="N192" s="116"/>
    </row>
    <row r="193">
      <c r="C193" s="107"/>
      <c r="D193" s="108"/>
      <c r="E193" s="114"/>
      <c r="F193" s="107"/>
      <c r="H193" s="111"/>
      <c r="I193" s="111"/>
      <c r="J193" s="115"/>
      <c r="K193" s="107"/>
      <c r="L193" s="49"/>
      <c r="M193" s="107"/>
      <c r="N193" s="116"/>
    </row>
    <row r="194">
      <c r="C194" s="107"/>
      <c r="D194" s="108"/>
      <c r="E194" s="114"/>
      <c r="F194" s="107"/>
      <c r="H194" s="111"/>
      <c r="I194" s="111"/>
      <c r="J194" s="115"/>
      <c r="K194" s="107"/>
      <c r="L194" s="49"/>
      <c r="M194" s="107"/>
      <c r="N194" s="116"/>
    </row>
    <row r="195">
      <c r="C195" s="107"/>
      <c r="D195" s="108"/>
      <c r="E195" s="114"/>
      <c r="F195" s="107"/>
      <c r="H195" s="111"/>
      <c r="I195" s="111"/>
      <c r="J195" s="115"/>
      <c r="K195" s="107"/>
      <c r="L195" s="49"/>
      <c r="M195" s="107"/>
      <c r="N195" s="116"/>
    </row>
    <row r="196">
      <c r="C196" s="107"/>
      <c r="D196" s="108"/>
      <c r="E196" s="114"/>
      <c r="F196" s="107"/>
      <c r="H196" s="111"/>
      <c r="I196" s="111"/>
      <c r="J196" s="115"/>
      <c r="K196" s="107"/>
      <c r="L196" s="49"/>
      <c r="M196" s="107"/>
      <c r="N196" s="116"/>
    </row>
    <row r="197">
      <c r="C197" s="107"/>
      <c r="D197" s="108"/>
      <c r="E197" s="114"/>
      <c r="F197" s="107"/>
      <c r="H197" s="111"/>
      <c r="I197" s="111"/>
      <c r="J197" s="115"/>
      <c r="K197" s="107"/>
      <c r="L197" s="49"/>
      <c r="M197" s="107"/>
      <c r="N197" s="116"/>
    </row>
    <row r="198">
      <c r="C198" s="107"/>
      <c r="D198" s="108"/>
      <c r="E198" s="114"/>
      <c r="F198" s="107"/>
      <c r="H198" s="111"/>
      <c r="I198" s="111"/>
      <c r="J198" s="115"/>
      <c r="K198" s="107"/>
      <c r="L198" s="49"/>
      <c r="M198" s="107"/>
      <c r="N198" s="116"/>
    </row>
    <row r="199">
      <c r="C199" s="107"/>
      <c r="D199" s="108"/>
      <c r="E199" s="114"/>
      <c r="F199" s="107"/>
      <c r="H199" s="111"/>
      <c r="I199" s="111"/>
      <c r="J199" s="115"/>
      <c r="K199" s="107"/>
      <c r="L199" s="49"/>
      <c r="M199" s="107"/>
      <c r="N199" s="116"/>
    </row>
    <row r="200">
      <c r="C200" s="107"/>
      <c r="D200" s="108"/>
      <c r="E200" s="114"/>
      <c r="F200" s="107"/>
      <c r="H200" s="111"/>
      <c r="I200" s="111"/>
      <c r="J200" s="115"/>
      <c r="K200" s="107"/>
      <c r="L200" s="49"/>
      <c r="M200" s="107"/>
      <c r="N200" s="116"/>
    </row>
    <row r="201">
      <c r="C201" s="107"/>
      <c r="D201" s="108"/>
      <c r="E201" s="114"/>
      <c r="F201" s="107"/>
      <c r="H201" s="111"/>
      <c r="I201" s="111"/>
      <c r="J201" s="115"/>
      <c r="K201" s="107"/>
      <c r="L201" s="49"/>
      <c r="M201" s="107"/>
      <c r="N201" s="116"/>
    </row>
    <row r="202">
      <c r="C202" s="107"/>
      <c r="D202" s="108"/>
      <c r="E202" s="114"/>
      <c r="F202" s="107"/>
      <c r="H202" s="111"/>
      <c r="I202" s="111"/>
      <c r="J202" s="115"/>
      <c r="K202" s="107"/>
      <c r="L202" s="49"/>
      <c r="M202" s="107"/>
      <c r="N202" s="116"/>
    </row>
    <row r="203">
      <c r="C203" s="107"/>
      <c r="D203" s="108"/>
      <c r="E203" s="114"/>
      <c r="F203" s="107"/>
      <c r="H203" s="111"/>
      <c r="I203" s="111"/>
      <c r="J203" s="115"/>
      <c r="K203" s="107"/>
      <c r="L203" s="49"/>
      <c r="M203" s="107"/>
      <c r="N203" s="116"/>
    </row>
    <row r="204">
      <c r="C204" s="107"/>
      <c r="D204" s="108"/>
      <c r="E204" s="114"/>
      <c r="F204" s="107"/>
      <c r="H204" s="111"/>
      <c r="I204" s="111"/>
      <c r="J204" s="115"/>
      <c r="K204" s="107"/>
      <c r="L204" s="49"/>
      <c r="M204" s="107"/>
      <c r="N204" s="116"/>
    </row>
    <row r="205">
      <c r="C205" s="107"/>
      <c r="D205" s="108"/>
      <c r="E205" s="114"/>
      <c r="F205" s="107"/>
      <c r="H205" s="111"/>
      <c r="I205" s="111"/>
      <c r="J205" s="115"/>
      <c r="K205" s="107"/>
      <c r="L205" s="49"/>
      <c r="M205" s="107"/>
      <c r="N205" s="116"/>
    </row>
    <row r="206">
      <c r="C206" s="107"/>
      <c r="D206" s="108"/>
      <c r="E206" s="114"/>
      <c r="F206" s="107"/>
      <c r="H206" s="111"/>
      <c r="I206" s="111"/>
      <c r="J206" s="115"/>
      <c r="K206" s="107"/>
      <c r="L206" s="49"/>
      <c r="M206" s="107"/>
      <c r="N206" s="116"/>
    </row>
    <row r="207">
      <c r="C207" s="107"/>
      <c r="D207" s="108"/>
      <c r="E207" s="114"/>
      <c r="F207" s="107"/>
      <c r="H207" s="111"/>
      <c r="I207" s="111"/>
      <c r="J207" s="115"/>
      <c r="K207" s="107"/>
      <c r="L207" s="49"/>
      <c r="M207" s="107"/>
      <c r="N207" s="116"/>
    </row>
    <row r="208">
      <c r="C208" s="107"/>
      <c r="D208" s="108"/>
      <c r="E208" s="114"/>
      <c r="F208" s="107"/>
      <c r="H208" s="111"/>
      <c r="I208" s="111"/>
      <c r="J208" s="115"/>
      <c r="K208" s="107"/>
      <c r="L208" s="49"/>
      <c r="M208" s="107"/>
      <c r="N208" s="116"/>
    </row>
    <row r="209">
      <c r="C209" s="107"/>
      <c r="D209" s="108"/>
      <c r="E209" s="114"/>
      <c r="F209" s="107"/>
      <c r="H209" s="111"/>
      <c r="I209" s="111"/>
      <c r="J209" s="115"/>
      <c r="K209" s="107"/>
      <c r="L209" s="49"/>
      <c r="M209" s="107"/>
      <c r="N209" s="116"/>
    </row>
    <row r="210">
      <c r="C210" s="107"/>
      <c r="D210" s="108"/>
      <c r="E210" s="114"/>
      <c r="F210" s="107"/>
      <c r="H210" s="111"/>
      <c r="I210" s="111"/>
      <c r="J210" s="115"/>
      <c r="K210" s="107"/>
      <c r="L210" s="49"/>
      <c r="M210" s="107"/>
      <c r="N210" s="116"/>
    </row>
    <row r="211">
      <c r="C211" s="107"/>
      <c r="D211" s="108"/>
      <c r="E211" s="114"/>
      <c r="F211" s="107"/>
      <c r="H211" s="111"/>
      <c r="I211" s="111"/>
      <c r="J211" s="115"/>
      <c r="K211" s="107"/>
      <c r="L211" s="49"/>
      <c r="M211" s="107"/>
      <c r="N211" s="116"/>
    </row>
    <row r="212">
      <c r="C212" s="107"/>
      <c r="D212" s="108"/>
      <c r="E212" s="114"/>
      <c r="F212" s="107"/>
      <c r="H212" s="111"/>
      <c r="I212" s="111"/>
      <c r="J212" s="115"/>
      <c r="K212" s="107"/>
      <c r="L212" s="49"/>
      <c r="M212" s="107"/>
      <c r="N212" s="116"/>
    </row>
    <row r="213">
      <c r="C213" s="107"/>
      <c r="D213" s="108"/>
      <c r="E213" s="114"/>
      <c r="F213" s="107"/>
      <c r="H213" s="111"/>
      <c r="I213" s="111"/>
      <c r="J213" s="115"/>
      <c r="K213" s="107"/>
      <c r="L213" s="49"/>
      <c r="M213" s="107"/>
      <c r="N213" s="116"/>
    </row>
    <row r="214">
      <c r="C214" s="107"/>
      <c r="D214" s="108"/>
      <c r="E214" s="114"/>
      <c r="F214" s="107"/>
      <c r="H214" s="111"/>
      <c r="I214" s="111"/>
      <c r="J214" s="115"/>
      <c r="K214" s="107"/>
      <c r="L214" s="49"/>
      <c r="M214" s="107"/>
      <c r="N214" s="116"/>
    </row>
    <row r="215">
      <c r="C215" s="107"/>
      <c r="D215" s="108"/>
      <c r="E215" s="114"/>
      <c r="F215" s="107"/>
      <c r="H215" s="111"/>
      <c r="I215" s="111"/>
      <c r="J215" s="115"/>
      <c r="K215" s="107"/>
      <c r="L215" s="49"/>
      <c r="M215" s="107"/>
      <c r="N215" s="116"/>
    </row>
    <row r="216">
      <c r="C216" s="107"/>
      <c r="D216" s="108"/>
      <c r="E216" s="114"/>
      <c r="F216" s="107"/>
      <c r="H216" s="111"/>
      <c r="I216" s="111"/>
      <c r="J216" s="115"/>
      <c r="K216" s="107"/>
      <c r="L216" s="49"/>
      <c r="M216" s="107"/>
      <c r="N216" s="116"/>
    </row>
    <row r="217">
      <c r="C217" s="107"/>
      <c r="D217" s="108"/>
      <c r="E217" s="114"/>
      <c r="F217" s="107"/>
      <c r="H217" s="111"/>
      <c r="I217" s="111"/>
      <c r="J217" s="115"/>
      <c r="K217" s="107"/>
      <c r="L217" s="49"/>
      <c r="M217" s="107"/>
      <c r="N217" s="116"/>
    </row>
    <row r="218">
      <c r="C218" s="107"/>
      <c r="D218" s="108"/>
      <c r="E218" s="114"/>
      <c r="F218" s="107"/>
      <c r="H218" s="111"/>
      <c r="I218" s="111"/>
      <c r="J218" s="115"/>
      <c r="K218" s="107"/>
      <c r="L218" s="49"/>
      <c r="M218" s="107"/>
      <c r="N218" s="116"/>
    </row>
    <row r="219">
      <c r="C219" s="107"/>
      <c r="D219" s="108"/>
      <c r="E219" s="114"/>
      <c r="F219" s="107"/>
      <c r="H219" s="111"/>
      <c r="I219" s="111"/>
      <c r="J219" s="115"/>
      <c r="K219" s="107"/>
      <c r="L219" s="49"/>
      <c r="M219" s="107"/>
      <c r="N219" s="116"/>
    </row>
    <row r="220">
      <c r="C220" s="107"/>
      <c r="D220" s="108"/>
      <c r="E220" s="114"/>
      <c r="F220" s="107"/>
      <c r="H220" s="111"/>
      <c r="I220" s="111"/>
      <c r="J220" s="115"/>
      <c r="K220" s="107"/>
      <c r="L220" s="49"/>
      <c r="M220" s="107"/>
      <c r="N220" s="116"/>
    </row>
    <row r="221">
      <c r="C221" s="107"/>
      <c r="D221" s="108"/>
      <c r="E221" s="114"/>
      <c r="F221" s="107"/>
      <c r="H221" s="111"/>
      <c r="I221" s="111"/>
      <c r="J221" s="115"/>
      <c r="K221" s="107"/>
      <c r="L221" s="49"/>
      <c r="M221" s="107"/>
      <c r="N221" s="116"/>
    </row>
    <row r="222">
      <c r="C222" s="107"/>
      <c r="D222" s="108"/>
      <c r="E222" s="114"/>
      <c r="F222" s="107"/>
      <c r="H222" s="111"/>
      <c r="I222" s="111"/>
      <c r="J222" s="115"/>
      <c r="K222" s="107"/>
      <c r="L222" s="49"/>
      <c r="M222" s="107"/>
      <c r="N222" s="116"/>
    </row>
    <row r="223">
      <c r="C223" s="107"/>
      <c r="D223" s="108"/>
      <c r="E223" s="114"/>
      <c r="F223" s="107"/>
      <c r="H223" s="111"/>
      <c r="I223" s="111"/>
      <c r="J223" s="115"/>
      <c r="K223" s="107"/>
      <c r="L223" s="49"/>
      <c r="M223" s="107"/>
      <c r="N223" s="116"/>
    </row>
    <row r="224">
      <c r="C224" s="107"/>
      <c r="D224" s="108"/>
      <c r="E224" s="114"/>
      <c r="F224" s="107"/>
      <c r="H224" s="111"/>
      <c r="I224" s="111"/>
      <c r="J224" s="115"/>
      <c r="K224" s="107"/>
      <c r="L224" s="49"/>
      <c r="M224" s="107"/>
      <c r="N224" s="116"/>
    </row>
    <row r="225">
      <c r="C225" s="107"/>
      <c r="D225" s="108"/>
      <c r="E225" s="114"/>
      <c r="F225" s="107"/>
      <c r="H225" s="111"/>
      <c r="I225" s="111"/>
      <c r="J225" s="115"/>
      <c r="K225" s="107"/>
      <c r="L225" s="49"/>
      <c r="M225" s="107"/>
      <c r="N225" s="116"/>
    </row>
    <row r="226">
      <c r="C226" s="107"/>
      <c r="D226" s="108"/>
      <c r="E226" s="114"/>
      <c r="F226" s="107"/>
      <c r="H226" s="111"/>
      <c r="I226" s="111"/>
      <c r="J226" s="115"/>
      <c r="K226" s="107"/>
      <c r="L226" s="49"/>
      <c r="M226" s="107"/>
      <c r="N226" s="116"/>
    </row>
    <row r="227">
      <c r="C227" s="107"/>
      <c r="D227" s="108"/>
      <c r="E227" s="114"/>
      <c r="F227" s="107"/>
      <c r="H227" s="111"/>
      <c r="I227" s="111"/>
      <c r="J227" s="115"/>
      <c r="K227" s="107"/>
      <c r="L227" s="49"/>
      <c r="M227" s="107"/>
      <c r="N227" s="116"/>
    </row>
    <row r="228">
      <c r="C228" s="107"/>
      <c r="D228" s="108"/>
      <c r="E228" s="114"/>
      <c r="F228" s="107"/>
      <c r="H228" s="111"/>
      <c r="I228" s="111"/>
      <c r="J228" s="115"/>
      <c r="K228" s="107"/>
      <c r="L228" s="49"/>
      <c r="M228" s="107"/>
      <c r="N228" s="116"/>
    </row>
    <row r="229">
      <c r="C229" s="107"/>
      <c r="D229" s="108"/>
      <c r="E229" s="114"/>
      <c r="F229" s="107"/>
      <c r="H229" s="111"/>
      <c r="I229" s="111"/>
      <c r="J229" s="115"/>
      <c r="K229" s="107"/>
      <c r="L229" s="49"/>
      <c r="M229" s="107"/>
      <c r="N229" s="116"/>
    </row>
    <row r="230">
      <c r="C230" s="107"/>
      <c r="D230" s="108"/>
      <c r="E230" s="114"/>
      <c r="F230" s="107"/>
      <c r="H230" s="111"/>
      <c r="I230" s="111"/>
      <c r="J230" s="115"/>
      <c r="K230" s="107"/>
      <c r="L230" s="49"/>
      <c r="M230" s="107"/>
      <c r="N230" s="116"/>
    </row>
    <row r="231">
      <c r="C231" s="107"/>
      <c r="D231" s="108"/>
      <c r="E231" s="114"/>
      <c r="F231" s="107"/>
      <c r="H231" s="111"/>
      <c r="I231" s="111"/>
      <c r="J231" s="115"/>
      <c r="K231" s="107"/>
      <c r="L231" s="49"/>
      <c r="M231" s="107"/>
      <c r="N231" s="116"/>
    </row>
    <row r="232">
      <c r="C232" s="107"/>
      <c r="D232" s="108"/>
      <c r="E232" s="114"/>
      <c r="F232" s="107"/>
      <c r="H232" s="111"/>
      <c r="I232" s="111"/>
      <c r="J232" s="115"/>
      <c r="K232" s="107"/>
      <c r="L232" s="49"/>
      <c r="M232" s="107"/>
      <c r="N232" s="116"/>
    </row>
    <row r="233">
      <c r="C233" s="107"/>
      <c r="D233" s="108"/>
      <c r="E233" s="114"/>
      <c r="F233" s="107"/>
      <c r="H233" s="111"/>
      <c r="I233" s="111"/>
      <c r="J233" s="115"/>
      <c r="K233" s="107"/>
      <c r="L233" s="49"/>
      <c r="M233" s="107"/>
      <c r="N233" s="116"/>
    </row>
    <row r="234">
      <c r="C234" s="107"/>
      <c r="D234" s="108"/>
      <c r="E234" s="114"/>
      <c r="F234" s="107"/>
      <c r="H234" s="111"/>
      <c r="I234" s="111"/>
      <c r="J234" s="115"/>
      <c r="K234" s="107"/>
      <c r="L234" s="49"/>
      <c r="M234" s="107"/>
      <c r="N234" s="116"/>
    </row>
    <row r="235">
      <c r="C235" s="107"/>
      <c r="D235" s="108"/>
      <c r="E235" s="114"/>
      <c r="F235" s="107"/>
      <c r="H235" s="111"/>
      <c r="I235" s="111"/>
      <c r="J235" s="115"/>
      <c r="K235" s="107"/>
      <c r="L235" s="49"/>
      <c r="M235" s="107"/>
      <c r="N235" s="116"/>
    </row>
    <row r="236">
      <c r="C236" s="107"/>
      <c r="D236" s="108"/>
      <c r="E236" s="114"/>
      <c r="F236" s="107"/>
      <c r="H236" s="111"/>
      <c r="I236" s="111"/>
      <c r="J236" s="115"/>
      <c r="K236" s="107"/>
      <c r="L236" s="49"/>
      <c r="M236" s="107"/>
      <c r="N236" s="116"/>
    </row>
    <row r="237">
      <c r="C237" s="107"/>
      <c r="D237" s="108"/>
      <c r="E237" s="114"/>
      <c r="F237" s="107"/>
      <c r="H237" s="111"/>
      <c r="I237" s="111"/>
      <c r="J237" s="115"/>
      <c r="K237" s="107"/>
      <c r="L237" s="49"/>
      <c r="M237" s="107"/>
      <c r="N237" s="116"/>
    </row>
    <row r="238">
      <c r="C238" s="107"/>
      <c r="D238" s="108"/>
      <c r="E238" s="114"/>
      <c r="F238" s="107"/>
      <c r="H238" s="111"/>
      <c r="I238" s="111"/>
      <c r="J238" s="115"/>
      <c r="K238" s="107"/>
      <c r="L238" s="49"/>
      <c r="M238" s="107"/>
      <c r="N238" s="116"/>
    </row>
    <row r="239">
      <c r="C239" s="107"/>
      <c r="D239" s="108"/>
      <c r="E239" s="114"/>
      <c r="F239" s="107"/>
      <c r="H239" s="111"/>
      <c r="I239" s="111"/>
      <c r="J239" s="115"/>
      <c r="K239" s="107"/>
      <c r="L239" s="49"/>
      <c r="M239" s="107"/>
      <c r="N239" s="116"/>
    </row>
    <row r="240">
      <c r="C240" s="107"/>
      <c r="D240" s="108"/>
      <c r="E240" s="114"/>
      <c r="F240" s="107"/>
      <c r="H240" s="111"/>
      <c r="I240" s="111"/>
      <c r="J240" s="115"/>
      <c r="K240" s="107"/>
      <c r="L240" s="49"/>
      <c r="M240" s="107"/>
      <c r="N240" s="116"/>
    </row>
    <row r="241">
      <c r="C241" s="107"/>
      <c r="D241" s="108"/>
      <c r="E241" s="114"/>
      <c r="F241" s="107"/>
      <c r="H241" s="111"/>
      <c r="I241" s="111"/>
      <c r="J241" s="115"/>
      <c r="K241" s="107"/>
      <c r="L241" s="49"/>
      <c r="M241" s="107"/>
      <c r="N241" s="116"/>
    </row>
    <row r="242">
      <c r="C242" s="107"/>
      <c r="D242" s="108"/>
      <c r="E242" s="114"/>
      <c r="F242" s="107"/>
      <c r="H242" s="111"/>
      <c r="I242" s="111"/>
      <c r="J242" s="115"/>
      <c r="K242" s="107"/>
      <c r="L242" s="49"/>
      <c r="M242" s="107"/>
      <c r="N242" s="116"/>
    </row>
    <row r="243">
      <c r="C243" s="107"/>
      <c r="D243" s="108"/>
      <c r="E243" s="114"/>
      <c r="F243" s="107"/>
      <c r="H243" s="111"/>
      <c r="I243" s="111"/>
      <c r="J243" s="115"/>
      <c r="K243" s="107"/>
      <c r="L243" s="49"/>
      <c r="M243" s="107"/>
      <c r="N243" s="116"/>
    </row>
    <row r="244">
      <c r="C244" s="107"/>
      <c r="D244" s="108"/>
      <c r="E244" s="114"/>
      <c r="F244" s="107"/>
      <c r="H244" s="111"/>
      <c r="I244" s="111"/>
      <c r="J244" s="115"/>
      <c r="K244" s="107"/>
      <c r="L244" s="49"/>
      <c r="M244" s="107"/>
      <c r="N244" s="116"/>
    </row>
    <row r="245">
      <c r="C245" s="107"/>
      <c r="D245" s="108"/>
      <c r="E245" s="114"/>
      <c r="F245" s="107"/>
      <c r="H245" s="111"/>
      <c r="I245" s="111"/>
      <c r="J245" s="115"/>
      <c r="K245" s="107"/>
      <c r="L245" s="49"/>
      <c r="M245" s="107"/>
      <c r="N245" s="116"/>
    </row>
    <row r="246">
      <c r="C246" s="107"/>
      <c r="D246" s="108"/>
      <c r="E246" s="114"/>
      <c r="F246" s="107"/>
      <c r="H246" s="111"/>
      <c r="I246" s="111"/>
      <c r="J246" s="115"/>
      <c r="K246" s="107"/>
      <c r="L246" s="49"/>
      <c r="M246" s="107"/>
      <c r="N246" s="116"/>
    </row>
    <row r="247">
      <c r="C247" s="107"/>
      <c r="D247" s="108"/>
      <c r="E247" s="114"/>
      <c r="F247" s="107"/>
      <c r="H247" s="111"/>
      <c r="I247" s="111"/>
      <c r="J247" s="115"/>
      <c r="K247" s="107"/>
      <c r="L247" s="49"/>
      <c r="M247" s="107"/>
      <c r="N247" s="116"/>
    </row>
    <row r="248">
      <c r="C248" s="107"/>
      <c r="D248" s="108"/>
      <c r="E248" s="114"/>
      <c r="F248" s="107"/>
      <c r="H248" s="111"/>
      <c r="I248" s="111"/>
      <c r="J248" s="115"/>
      <c r="K248" s="107"/>
      <c r="L248" s="49"/>
      <c r="M248" s="107"/>
      <c r="N248" s="116"/>
    </row>
    <row r="249">
      <c r="C249" s="107"/>
      <c r="D249" s="108"/>
      <c r="E249" s="114"/>
      <c r="F249" s="107"/>
      <c r="H249" s="111"/>
      <c r="I249" s="111"/>
      <c r="J249" s="115"/>
      <c r="K249" s="107"/>
      <c r="L249" s="49"/>
      <c r="M249" s="107"/>
      <c r="N249" s="116"/>
    </row>
    <row r="250">
      <c r="C250" s="107"/>
      <c r="D250" s="108"/>
      <c r="E250" s="114"/>
      <c r="F250" s="107"/>
      <c r="H250" s="111"/>
      <c r="I250" s="111"/>
      <c r="J250" s="115"/>
      <c r="K250" s="107"/>
      <c r="L250" s="49"/>
      <c r="M250" s="107"/>
      <c r="N250" s="116"/>
    </row>
    <row r="251">
      <c r="C251" s="107"/>
      <c r="D251" s="108"/>
      <c r="E251" s="114"/>
      <c r="F251" s="107"/>
      <c r="H251" s="111"/>
      <c r="I251" s="111"/>
      <c r="J251" s="115"/>
      <c r="K251" s="107"/>
      <c r="L251" s="49"/>
      <c r="M251" s="107"/>
      <c r="N251" s="116"/>
    </row>
    <row r="252">
      <c r="C252" s="107"/>
      <c r="D252" s="108"/>
      <c r="E252" s="114"/>
      <c r="F252" s="107"/>
      <c r="H252" s="111"/>
      <c r="I252" s="111"/>
      <c r="J252" s="115"/>
      <c r="K252" s="107"/>
      <c r="L252" s="49"/>
      <c r="M252" s="107"/>
      <c r="N252" s="116"/>
    </row>
    <row r="253">
      <c r="C253" s="107"/>
      <c r="D253" s="108"/>
      <c r="E253" s="114"/>
      <c r="F253" s="107"/>
      <c r="H253" s="111"/>
      <c r="I253" s="111"/>
      <c r="J253" s="115"/>
      <c r="K253" s="107"/>
      <c r="L253" s="49"/>
      <c r="M253" s="107"/>
      <c r="N253" s="116"/>
    </row>
    <row r="254">
      <c r="C254" s="107"/>
      <c r="D254" s="108"/>
      <c r="E254" s="114"/>
      <c r="F254" s="107"/>
      <c r="H254" s="111"/>
      <c r="I254" s="111"/>
      <c r="J254" s="115"/>
      <c r="K254" s="107"/>
      <c r="L254" s="49"/>
      <c r="M254" s="107"/>
      <c r="N254" s="116"/>
    </row>
    <row r="255">
      <c r="C255" s="107"/>
      <c r="D255" s="108"/>
      <c r="E255" s="114"/>
      <c r="F255" s="107"/>
      <c r="H255" s="111"/>
      <c r="I255" s="111"/>
      <c r="J255" s="115"/>
      <c r="K255" s="107"/>
      <c r="L255" s="49"/>
      <c r="M255" s="107"/>
      <c r="N255" s="116"/>
    </row>
    <row r="256">
      <c r="C256" s="107"/>
      <c r="D256" s="108"/>
      <c r="E256" s="114"/>
      <c r="F256" s="107"/>
      <c r="H256" s="111"/>
      <c r="I256" s="111"/>
      <c r="J256" s="115"/>
      <c r="K256" s="107"/>
      <c r="L256" s="49"/>
      <c r="M256" s="107"/>
      <c r="N256" s="116"/>
    </row>
    <row r="257">
      <c r="C257" s="107"/>
      <c r="D257" s="108"/>
      <c r="E257" s="114"/>
      <c r="F257" s="107"/>
      <c r="H257" s="111"/>
      <c r="I257" s="111"/>
      <c r="J257" s="115"/>
      <c r="K257" s="107"/>
      <c r="L257" s="49"/>
      <c r="M257" s="107"/>
      <c r="N257" s="116"/>
    </row>
    <row r="258">
      <c r="C258" s="107"/>
      <c r="D258" s="108"/>
      <c r="E258" s="114"/>
      <c r="F258" s="107"/>
      <c r="H258" s="111"/>
      <c r="I258" s="111"/>
      <c r="J258" s="115"/>
      <c r="K258" s="107"/>
      <c r="L258" s="49"/>
      <c r="M258" s="107"/>
      <c r="N258" s="116"/>
    </row>
    <row r="259">
      <c r="C259" s="107"/>
      <c r="D259" s="108"/>
      <c r="E259" s="114"/>
      <c r="F259" s="107"/>
      <c r="H259" s="111"/>
      <c r="I259" s="111"/>
      <c r="J259" s="115"/>
      <c r="K259" s="107"/>
      <c r="L259" s="49"/>
      <c r="M259" s="107"/>
      <c r="N259" s="116"/>
    </row>
    <row r="260">
      <c r="C260" s="107"/>
      <c r="D260" s="108"/>
      <c r="E260" s="114"/>
      <c r="F260" s="107"/>
      <c r="H260" s="111"/>
      <c r="I260" s="111"/>
      <c r="J260" s="115"/>
      <c r="K260" s="107"/>
      <c r="L260" s="49"/>
      <c r="M260" s="107"/>
      <c r="N260" s="116"/>
    </row>
    <row r="261">
      <c r="C261" s="107"/>
      <c r="D261" s="108"/>
      <c r="E261" s="114"/>
      <c r="F261" s="107"/>
      <c r="H261" s="111"/>
      <c r="I261" s="111"/>
      <c r="J261" s="115"/>
      <c r="K261" s="107"/>
      <c r="L261" s="49"/>
      <c r="M261" s="107"/>
      <c r="N261" s="116"/>
    </row>
    <row r="262">
      <c r="C262" s="107"/>
      <c r="D262" s="108"/>
      <c r="E262" s="114"/>
      <c r="F262" s="107"/>
      <c r="H262" s="111"/>
      <c r="I262" s="111"/>
      <c r="J262" s="115"/>
      <c r="K262" s="107"/>
      <c r="L262" s="49"/>
      <c r="M262" s="107"/>
      <c r="N262" s="116"/>
    </row>
    <row r="263">
      <c r="C263" s="107"/>
      <c r="D263" s="108"/>
      <c r="E263" s="114"/>
      <c r="F263" s="107"/>
      <c r="H263" s="111"/>
      <c r="I263" s="111"/>
      <c r="J263" s="115"/>
      <c r="K263" s="107"/>
      <c r="L263" s="49"/>
      <c r="M263" s="107"/>
      <c r="N263" s="116"/>
    </row>
    <row r="264">
      <c r="C264" s="107"/>
      <c r="D264" s="108"/>
      <c r="E264" s="114"/>
      <c r="F264" s="107"/>
      <c r="H264" s="111"/>
      <c r="I264" s="111"/>
      <c r="J264" s="115"/>
      <c r="K264" s="107"/>
      <c r="L264" s="49"/>
      <c r="M264" s="107"/>
      <c r="N264" s="116"/>
    </row>
    <row r="265">
      <c r="C265" s="107"/>
      <c r="D265" s="108"/>
      <c r="E265" s="114"/>
      <c r="F265" s="107"/>
      <c r="H265" s="111"/>
      <c r="I265" s="111"/>
      <c r="J265" s="115"/>
      <c r="K265" s="107"/>
      <c r="L265" s="49"/>
      <c r="M265" s="107"/>
      <c r="N265" s="116"/>
    </row>
    <row r="266">
      <c r="C266" s="107"/>
      <c r="D266" s="108"/>
      <c r="E266" s="114"/>
      <c r="F266" s="107"/>
      <c r="H266" s="111"/>
      <c r="I266" s="111"/>
      <c r="J266" s="115"/>
      <c r="K266" s="107"/>
      <c r="L266" s="49"/>
      <c r="M266" s="107"/>
      <c r="N266" s="116"/>
    </row>
    <row r="267">
      <c r="C267" s="107"/>
      <c r="D267" s="108"/>
      <c r="E267" s="114"/>
      <c r="F267" s="107"/>
      <c r="H267" s="111"/>
      <c r="I267" s="111"/>
      <c r="J267" s="115"/>
      <c r="K267" s="107"/>
      <c r="L267" s="49"/>
      <c r="M267" s="107"/>
      <c r="N267" s="116"/>
    </row>
    <row r="268">
      <c r="C268" s="107"/>
      <c r="D268" s="108"/>
      <c r="E268" s="114"/>
      <c r="F268" s="107"/>
      <c r="H268" s="111"/>
      <c r="I268" s="111"/>
      <c r="J268" s="115"/>
      <c r="K268" s="107"/>
      <c r="L268" s="49"/>
      <c r="M268" s="107"/>
      <c r="N268" s="116"/>
    </row>
    <row r="269">
      <c r="C269" s="107"/>
      <c r="D269" s="108"/>
      <c r="E269" s="114"/>
      <c r="F269" s="107"/>
      <c r="H269" s="111"/>
      <c r="I269" s="111"/>
      <c r="J269" s="115"/>
      <c r="K269" s="107"/>
      <c r="L269" s="49"/>
      <c r="M269" s="107"/>
      <c r="N269" s="116"/>
    </row>
    <row r="270">
      <c r="C270" s="107"/>
      <c r="D270" s="108"/>
      <c r="E270" s="114"/>
      <c r="F270" s="107"/>
      <c r="H270" s="111"/>
      <c r="I270" s="111"/>
      <c r="J270" s="115"/>
      <c r="K270" s="107"/>
      <c r="L270" s="49"/>
      <c r="M270" s="107"/>
      <c r="N270" s="116"/>
    </row>
    <row r="271">
      <c r="C271" s="107"/>
      <c r="D271" s="108"/>
      <c r="E271" s="114"/>
      <c r="F271" s="107"/>
      <c r="H271" s="111"/>
      <c r="I271" s="111"/>
      <c r="J271" s="115"/>
      <c r="K271" s="107"/>
      <c r="L271" s="49"/>
      <c r="M271" s="107"/>
      <c r="N271" s="116"/>
    </row>
    <row r="272">
      <c r="C272" s="107"/>
      <c r="D272" s="108"/>
      <c r="E272" s="114"/>
      <c r="F272" s="107"/>
      <c r="H272" s="111"/>
      <c r="I272" s="111"/>
      <c r="J272" s="115"/>
      <c r="K272" s="107"/>
      <c r="L272" s="49"/>
      <c r="M272" s="107"/>
      <c r="N272" s="116"/>
    </row>
    <row r="273">
      <c r="C273" s="107"/>
      <c r="D273" s="108"/>
      <c r="E273" s="114"/>
      <c r="F273" s="107"/>
      <c r="H273" s="111"/>
      <c r="I273" s="111"/>
      <c r="J273" s="115"/>
      <c r="K273" s="107"/>
      <c r="L273" s="49"/>
      <c r="M273" s="107"/>
      <c r="N273" s="116"/>
    </row>
    <row r="274">
      <c r="C274" s="107"/>
      <c r="D274" s="108"/>
      <c r="E274" s="114"/>
      <c r="F274" s="107"/>
      <c r="H274" s="111"/>
      <c r="I274" s="111"/>
      <c r="J274" s="115"/>
      <c r="K274" s="107"/>
      <c r="L274" s="49"/>
      <c r="M274" s="107"/>
      <c r="N274" s="116"/>
    </row>
    <row r="275">
      <c r="C275" s="107"/>
      <c r="D275" s="108"/>
      <c r="E275" s="114"/>
      <c r="F275" s="107"/>
      <c r="H275" s="111"/>
      <c r="I275" s="111"/>
      <c r="J275" s="115"/>
      <c r="K275" s="107"/>
      <c r="L275" s="49"/>
      <c r="M275" s="107"/>
      <c r="N275" s="116"/>
    </row>
    <row r="276">
      <c r="C276" s="107"/>
      <c r="D276" s="108"/>
      <c r="E276" s="114"/>
      <c r="F276" s="107"/>
      <c r="H276" s="111"/>
      <c r="I276" s="111"/>
      <c r="J276" s="115"/>
      <c r="K276" s="107"/>
      <c r="L276" s="49"/>
      <c r="M276" s="107"/>
      <c r="N276" s="116"/>
    </row>
    <row r="277">
      <c r="C277" s="107"/>
      <c r="D277" s="108"/>
      <c r="E277" s="114"/>
      <c r="F277" s="107"/>
      <c r="H277" s="111"/>
      <c r="I277" s="111"/>
      <c r="J277" s="115"/>
      <c r="K277" s="107"/>
      <c r="L277" s="49"/>
      <c r="M277" s="107"/>
      <c r="N277" s="116"/>
    </row>
    <row r="278">
      <c r="C278" s="107"/>
      <c r="D278" s="108"/>
      <c r="E278" s="114"/>
      <c r="F278" s="107"/>
      <c r="H278" s="111"/>
      <c r="I278" s="111"/>
      <c r="J278" s="115"/>
      <c r="K278" s="107"/>
      <c r="L278" s="49"/>
      <c r="M278" s="107"/>
      <c r="N278" s="116"/>
    </row>
    <row r="279">
      <c r="C279" s="107"/>
      <c r="D279" s="108"/>
      <c r="E279" s="114"/>
      <c r="F279" s="107"/>
      <c r="H279" s="111"/>
      <c r="I279" s="111"/>
      <c r="J279" s="115"/>
      <c r="K279" s="107"/>
      <c r="L279" s="49"/>
      <c r="M279" s="107"/>
      <c r="N279" s="116"/>
    </row>
    <row r="280">
      <c r="C280" s="107"/>
      <c r="D280" s="108"/>
      <c r="E280" s="114"/>
      <c r="F280" s="107"/>
      <c r="H280" s="111"/>
      <c r="I280" s="111"/>
      <c r="J280" s="115"/>
      <c r="K280" s="107"/>
      <c r="L280" s="49"/>
      <c r="M280" s="107"/>
      <c r="N280" s="116"/>
    </row>
    <row r="281">
      <c r="C281" s="107"/>
      <c r="D281" s="108"/>
      <c r="E281" s="114"/>
      <c r="F281" s="107"/>
      <c r="H281" s="111"/>
      <c r="I281" s="111"/>
      <c r="J281" s="115"/>
      <c r="K281" s="107"/>
      <c r="L281" s="49"/>
      <c r="M281" s="107"/>
      <c r="N281" s="116"/>
    </row>
    <row r="282">
      <c r="C282" s="107"/>
      <c r="D282" s="108"/>
      <c r="E282" s="114"/>
      <c r="F282" s="107"/>
      <c r="H282" s="111"/>
      <c r="I282" s="111"/>
      <c r="J282" s="115"/>
      <c r="K282" s="107"/>
      <c r="L282" s="49"/>
      <c r="M282" s="107"/>
      <c r="N282" s="116"/>
    </row>
    <row r="283">
      <c r="C283" s="107"/>
      <c r="D283" s="108"/>
      <c r="E283" s="114"/>
      <c r="F283" s="107"/>
      <c r="H283" s="111"/>
      <c r="I283" s="111"/>
      <c r="J283" s="115"/>
      <c r="K283" s="107"/>
      <c r="L283" s="49"/>
      <c r="M283" s="107"/>
      <c r="N283" s="116"/>
    </row>
    <row r="284">
      <c r="C284" s="107"/>
      <c r="D284" s="108"/>
      <c r="E284" s="114"/>
      <c r="F284" s="107"/>
      <c r="H284" s="111"/>
      <c r="I284" s="111"/>
      <c r="J284" s="115"/>
      <c r="K284" s="107"/>
      <c r="L284" s="49"/>
      <c r="M284" s="107"/>
      <c r="N284" s="116"/>
    </row>
    <row r="285">
      <c r="C285" s="107"/>
      <c r="D285" s="108"/>
      <c r="E285" s="114"/>
      <c r="F285" s="107"/>
      <c r="H285" s="111"/>
      <c r="I285" s="111"/>
      <c r="J285" s="115"/>
      <c r="K285" s="107"/>
      <c r="L285" s="49"/>
      <c r="M285" s="107"/>
      <c r="N285" s="116"/>
    </row>
    <row r="286">
      <c r="C286" s="107"/>
      <c r="D286" s="108"/>
      <c r="E286" s="114"/>
      <c r="F286" s="107"/>
      <c r="H286" s="111"/>
      <c r="I286" s="111"/>
      <c r="J286" s="115"/>
      <c r="K286" s="107"/>
      <c r="L286" s="49"/>
      <c r="M286" s="107"/>
      <c r="N286" s="116"/>
    </row>
    <row r="287">
      <c r="C287" s="107"/>
      <c r="D287" s="108"/>
      <c r="E287" s="114"/>
      <c r="F287" s="107"/>
      <c r="H287" s="111"/>
      <c r="I287" s="111"/>
      <c r="J287" s="115"/>
      <c r="K287" s="107"/>
      <c r="L287" s="49"/>
      <c r="M287" s="107"/>
      <c r="N287" s="116"/>
    </row>
    <row r="288">
      <c r="C288" s="107"/>
      <c r="D288" s="108"/>
      <c r="E288" s="114"/>
      <c r="F288" s="107"/>
      <c r="H288" s="111"/>
      <c r="I288" s="111"/>
      <c r="J288" s="115"/>
      <c r="K288" s="107"/>
      <c r="L288" s="49"/>
      <c r="M288" s="107"/>
      <c r="N288" s="116"/>
    </row>
    <row r="289">
      <c r="C289" s="107"/>
      <c r="D289" s="108"/>
      <c r="E289" s="114"/>
      <c r="F289" s="107"/>
      <c r="H289" s="111"/>
      <c r="I289" s="111"/>
      <c r="J289" s="115"/>
      <c r="K289" s="107"/>
      <c r="L289" s="49"/>
      <c r="M289" s="107"/>
      <c r="N289" s="116"/>
    </row>
    <row r="290">
      <c r="C290" s="107"/>
      <c r="D290" s="108"/>
      <c r="E290" s="114"/>
      <c r="F290" s="107"/>
      <c r="H290" s="111"/>
      <c r="I290" s="111"/>
      <c r="J290" s="115"/>
      <c r="K290" s="107"/>
      <c r="L290" s="49"/>
      <c r="M290" s="107"/>
      <c r="N290" s="116"/>
    </row>
    <row r="291">
      <c r="C291" s="107"/>
      <c r="D291" s="108"/>
      <c r="E291" s="114"/>
      <c r="F291" s="107"/>
      <c r="H291" s="111"/>
      <c r="I291" s="111"/>
      <c r="J291" s="115"/>
      <c r="K291" s="107"/>
      <c r="L291" s="49"/>
      <c r="M291" s="107"/>
      <c r="N291" s="116"/>
    </row>
    <row r="292">
      <c r="C292" s="107"/>
      <c r="D292" s="108"/>
      <c r="E292" s="114"/>
      <c r="F292" s="107"/>
      <c r="H292" s="111"/>
      <c r="I292" s="111"/>
      <c r="J292" s="115"/>
      <c r="K292" s="107"/>
      <c r="L292" s="49"/>
      <c r="M292" s="107"/>
      <c r="N292" s="116"/>
    </row>
    <row r="293">
      <c r="C293" s="107"/>
      <c r="D293" s="108"/>
      <c r="E293" s="114"/>
      <c r="F293" s="107"/>
      <c r="H293" s="111"/>
      <c r="I293" s="111"/>
      <c r="J293" s="115"/>
      <c r="K293" s="107"/>
      <c r="L293" s="49"/>
      <c r="M293" s="107"/>
      <c r="N293" s="116"/>
    </row>
    <row r="294">
      <c r="C294" s="107"/>
      <c r="D294" s="108"/>
      <c r="E294" s="114"/>
      <c r="F294" s="107"/>
      <c r="H294" s="111"/>
      <c r="I294" s="111"/>
      <c r="J294" s="115"/>
      <c r="K294" s="107"/>
      <c r="L294" s="49"/>
      <c r="M294" s="107"/>
      <c r="N294" s="116"/>
    </row>
    <row r="295">
      <c r="C295" s="107"/>
      <c r="D295" s="108"/>
      <c r="E295" s="114"/>
      <c r="F295" s="107"/>
      <c r="H295" s="111"/>
      <c r="I295" s="111"/>
      <c r="J295" s="115"/>
      <c r="K295" s="107"/>
      <c r="L295" s="49"/>
      <c r="M295" s="107"/>
      <c r="N295" s="116"/>
    </row>
    <row r="296">
      <c r="C296" s="107"/>
      <c r="D296" s="108"/>
      <c r="E296" s="114"/>
      <c r="F296" s="107"/>
      <c r="H296" s="111"/>
      <c r="I296" s="111"/>
      <c r="J296" s="115"/>
      <c r="K296" s="107"/>
      <c r="L296" s="49"/>
      <c r="M296" s="107"/>
      <c r="N296" s="116"/>
    </row>
    <row r="297">
      <c r="C297" s="107"/>
      <c r="D297" s="108"/>
      <c r="E297" s="114"/>
      <c r="F297" s="107"/>
      <c r="H297" s="111"/>
      <c r="I297" s="111"/>
      <c r="J297" s="115"/>
      <c r="K297" s="107"/>
      <c r="L297" s="49"/>
      <c r="M297" s="107"/>
      <c r="N297" s="116"/>
    </row>
    <row r="298">
      <c r="C298" s="107"/>
      <c r="D298" s="108"/>
      <c r="E298" s="114"/>
      <c r="F298" s="107"/>
      <c r="H298" s="111"/>
      <c r="I298" s="111"/>
      <c r="J298" s="115"/>
      <c r="K298" s="107"/>
      <c r="L298" s="49"/>
      <c r="M298" s="107"/>
      <c r="N298" s="116"/>
    </row>
    <row r="299">
      <c r="C299" s="107"/>
      <c r="D299" s="108"/>
      <c r="E299" s="114"/>
      <c r="F299" s="107"/>
      <c r="H299" s="111"/>
      <c r="I299" s="111"/>
      <c r="J299" s="115"/>
      <c r="K299" s="107"/>
      <c r="L299" s="49"/>
      <c r="M299" s="107"/>
      <c r="N299" s="116"/>
    </row>
    <row r="300">
      <c r="C300" s="107"/>
      <c r="D300" s="108"/>
      <c r="E300" s="114"/>
      <c r="F300" s="107"/>
      <c r="H300" s="111"/>
      <c r="I300" s="111"/>
      <c r="J300" s="115"/>
      <c r="K300" s="107"/>
      <c r="L300" s="49"/>
      <c r="M300" s="107"/>
      <c r="N300" s="116"/>
    </row>
    <row r="301">
      <c r="C301" s="107"/>
      <c r="D301" s="108"/>
      <c r="E301" s="114"/>
      <c r="F301" s="107"/>
      <c r="H301" s="111"/>
      <c r="I301" s="111"/>
      <c r="J301" s="115"/>
      <c r="K301" s="107"/>
      <c r="L301" s="49"/>
      <c r="M301" s="107"/>
      <c r="N301" s="116"/>
    </row>
    <row r="302">
      <c r="C302" s="107"/>
      <c r="D302" s="108"/>
      <c r="E302" s="114"/>
      <c r="F302" s="107"/>
      <c r="H302" s="111"/>
      <c r="I302" s="111"/>
      <c r="J302" s="115"/>
      <c r="K302" s="107"/>
      <c r="L302" s="49"/>
      <c r="M302" s="107"/>
      <c r="N302" s="116"/>
    </row>
    <row r="303">
      <c r="C303" s="107"/>
      <c r="D303" s="108"/>
      <c r="E303" s="114"/>
      <c r="F303" s="107"/>
      <c r="H303" s="111"/>
      <c r="I303" s="111"/>
      <c r="J303" s="115"/>
      <c r="K303" s="107"/>
      <c r="L303" s="49"/>
      <c r="M303" s="107"/>
      <c r="N303" s="116"/>
    </row>
    <row r="304">
      <c r="C304" s="107"/>
      <c r="D304" s="108"/>
      <c r="E304" s="114"/>
      <c r="F304" s="107"/>
      <c r="H304" s="111"/>
      <c r="I304" s="111"/>
      <c r="J304" s="115"/>
      <c r="K304" s="107"/>
      <c r="L304" s="49"/>
      <c r="M304" s="107"/>
      <c r="N304" s="116"/>
    </row>
    <row r="305">
      <c r="C305" s="107"/>
      <c r="D305" s="108"/>
      <c r="E305" s="114"/>
      <c r="F305" s="107"/>
      <c r="H305" s="111"/>
      <c r="I305" s="111"/>
      <c r="J305" s="115"/>
      <c r="K305" s="107"/>
      <c r="L305" s="49"/>
      <c r="M305" s="107"/>
      <c r="N305" s="116"/>
    </row>
    <row r="306">
      <c r="C306" s="107"/>
      <c r="D306" s="108"/>
      <c r="E306" s="114"/>
      <c r="F306" s="107"/>
      <c r="H306" s="111"/>
      <c r="I306" s="111"/>
      <c r="J306" s="115"/>
      <c r="K306" s="107"/>
      <c r="L306" s="49"/>
      <c r="M306" s="107"/>
      <c r="N306" s="116"/>
    </row>
    <row r="307">
      <c r="C307" s="107"/>
      <c r="D307" s="108"/>
      <c r="E307" s="114"/>
      <c r="F307" s="107"/>
      <c r="H307" s="111"/>
      <c r="I307" s="111"/>
      <c r="J307" s="115"/>
      <c r="K307" s="107"/>
      <c r="L307" s="49"/>
      <c r="M307" s="107"/>
      <c r="N307" s="116"/>
    </row>
    <row r="308">
      <c r="C308" s="107"/>
      <c r="D308" s="108"/>
      <c r="E308" s="114"/>
      <c r="F308" s="107"/>
      <c r="H308" s="111"/>
      <c r="I308" s="111"/>
      <c r="J308" s="115"/>
      <c r="K308" s="107"/>
      <c r="L308" s="49"/>
      <c r="M308" s="107"/>
      <c r="N308" s="116"/>
    </row>
    <row r="309">
      <c r="C309" s="107"/>
      <c r="D309" s="108"/>
      <c r="E309" s="114"/>
      <c r="F309" s="107"/>
      <c r="H309" s="111"/>
      <c r="I309" s="111"/>
      <c r="J309" s="115"/>
      <c r="K309" s="107"/>
      <c r="L309" s="49"/>
      <c r="M309" s="107"/>
      <c r="N309" s="116"/>
    </row>
    <row r="310">
      <c r="C310" s="107"/>
      <c r="D310" s="108"/>
      <c r="E310" s="114"/>
      <c r="F310" s="107"/>
      <c r="H310" s="111"/>
      <c r="I310" s="111"/>
      <c r="J310" s="115"/>
      <c r="K310" s="107"/>
      <c r="L310" s="49"/>
      <c r="M310" s="107"/>
      <c r="N310" s="116"/>
    </row>
    <row r="311">
      <c r="C311" s="107"/>
      <c r="D311" s="108"/>
      <c r="E311" s="114"/>
      <c r="F311" s="107"/>
      <c r="H311" s="111"/>
      <c r="I311" s="111"/>
      <c r="J311" s="115"/>
      <c r="K311" s="107"/>
      <c r="L311" s="49"/>
      <c r="M311" s="107"/>
      <c r="N311" s="116"/>
    </row>
    <row r="312">
      <c r="C312" s="107"/>
      <c r="D312" s="108"/>
      <c r="E312" s="114"/>
      <c r="F312" s="107"/>
      <c r="H312" s="111"/>
      <c r="I312" s="111"/>
      <c r="J312" s="115"/>
      <c r="K312" s="107"/>
      <c r="L312" s="49"/>
      <c r="M312" s="107"/>
      <c r="N312" s="116"/>
    </row>
    <row r="313">
      <c r="C313" s="107"/>
      <c r="D313" s="108"/>
      <c r="E313" s="114"/>
      <c r="F313" s="107"/>
      <c r="H313" s="111"/>
      <c r="I313" s="111"/>
      <c r="J313" s="115"/>
      <c r="K313" s="107"/>
      <c r="L313" s="49"/>
      <c r="M313" s="107"/>
      <c r="N313" s="116"/>
    </row>
    <row r="314">
      <c r="C314" s="107"/>
      <c r="D314" s="108"/>
      <c r="E314" s="114"/>
      <c r="F314" s="107"/>
      <c r="H314" s="111"/>
      <c r="I314" s="111"/>
      <c r="J314" s="115"/>
      <c r="K314" s="107"/>
      <c r="L314" s="49"/>
      <c r="M314" s="107"/>
      <c r="N314" s="116"/>
    </row>
    <row r="315">
      <c r="C315" s="107"/>
      <c r="D315" s="108"/>
      <c r="E315" s="114"/>
      <c r="F315" s="107"/>
      <c r="H315" s="111"/>
      <c r="I315" s="111"/>
      <c r="J315" s="115"/>
      <c r="K315" s="107"/>
      <c r="L315" s="49"/>
      <c r="M315" s="107"/>
      <c r="N315" s="116"/>
    </row>
    <row r="316">
      <c r="C316" s="107"/>
      <c r="D316" s="108"/>
      <c r="E316" s="114"/>
      <c r="F316" s="107"/>
      <c r="H316" s="111"/>
      <c r="I316" s="111"/>
      <c r="J316" s="115"/>
      <c r="K316" s="107"/>
      <c r="L316" s="49"/>
      <c r="M316" s="107"/>
      <c r="N316" s="116"/>
    </row>
    <row r="317">
      <c r="C317" s="107"/>
      <c r="D317" s="108"/>
      <c r="E317" s="114"/>
      <c r="F317" s="107"/>
      <c r="H317" s="111"/>
      <c r="I317" s="111"/>
      <c r="J317" s="115"/>
      <c r="K317" s="107"/>
      <c r="L317" s="49"/>
      <c r="M317" s="107"/>
      <c r="N317" s="116"/>
    </row>
    <row r="318">
      <c r="C318" s="107"/>
      <c r="D318" s="108"/>
      <c r="E318" s="114"/>
      <c r="F318" s="107"/>
      <c r="H318" s="111"/>
      <c r="I318" s="111"/>
      <c r="J318" s="115"/>
      <c r="K318" s="107"/>
      <c r="L318" s="49"/>
      <c r="M318" s="107"/>
      <c r="N318" s="116"/>
    </row>
    <row r="319">
      <c r="C319" s="107"/>
      <c r="D319" s="108"/>
      <c r="E319" s="114"/>
      <c r="F319" s="107"/>
      <c r="H319" s="111"/>
      <c r="I319" s="111"/>
      <c r="J319" s="115"/>
      <c r="K319" s="107"/>
      <c r="L319" s="49"/>
      <c r="M319" s="107"/>
      <c r="N319" s="116"/>
    </row>
    <row r="320">
      <c r="C320" s="107"/>
      <c r="D320" s="108"/>
      <c r="E320" s="114"/>
      <c r="F320" s="107"/>
      <c r="H320" s="111"/>
      <c r="I320" s="111"/>
      <c r="J320" s="115"/>
      <c r="K320" s="107"/>
      <c r="L320" s="49"/>
      <c r="M320" s="107"/>
      <c r="N320" s="116"/>
    </row>
    <row r="321">
      <c r="C321" s="107"/>
      <c r="D321" s="108"/>
      <c r="E321" s="114"/>
      <c r="F321" s="107"/>
      <c r="H321" s="111"/>
      <c r="I321" s="111"/>
      <c r="J321" s="115"/>
      <c r="K321" s="107"/>
      <c r="L321" s="49"/>
      <c r="M321" s="107"/>
      <c r="N321" s="116"/>
    </row>
    <row r="322">
      <c r="C322" s="107"/>
      <c r="D322" s="108"/>
      <c r="E322" s="114"/>
      <c r="F322" s="107"/>
      <c r="H322" s="111"/>
      <c r="I322" s="111"/>
      <c r="J322" s="115"/>
      <c r="K322" s="107"/>
      <c r="L322" s="49"/>
      <c r="M322" s="107"/>
      <c r="N322" s="116"/>
    </row>
    <row r="323">
      <c r="C323" s="107"/>
      <c r="D323" s="108"/>
      <c r="E323" s="114"/>
      <c r="F323" s="107"/>
      <c r="H323" s="111"/>
      <c r="I323" s="111"/>
      <c r="J323" s="115"/>
      <c r="K323" s="107"/>
      <c r="L323" s="49"/>
      <c r="M323" s="107"/>
      <c r="N323" s="116"/>
    </row>
    <row r="324">
      <c r="C324" s="107"/>
      <c r="D324" s="108"/>
      <c r="E324" s="114"/>
      <c r="F324" s="107"/>
      <c r="H324" s="111"/>
      <c r="I324" s="111"/>
      <c r="J324" s="115"/>
      <c r="K324" s="107"/>
      <c r="L324" s="49"/>
      <c r="M324" s="107"/>
      <c r="N324" s="116"/>
    </row>
    <row r="325">
      <c r="C325" s="107"/>
      <c r="D325" s="108"/>
      <c r="E325" s="114"/>
      <c r="F325" s="107"/>
      <c r="H325" s="111"/>
      <c r="I325" s="111"/>
      <c r="J325" s="115"/>
      <c r="K325" s="107"/>
      <c r="L325" s="49"/>
      <c r="M325" s="107"/>
      <c r="N325" s="116"/>
    </row>
    <row r="326">
      <c r="C326" s="107"/>
      <c r="D326" s="108"/>
      <c r="E326" s="114"/>
      <c r="F326" s="107"/>
      <c r="H326" s="111"/>
      <c r="I326" s="111"/>
      <c r="J326" s="115"/>
      <c r="K326" s="107"/>
      <c r="L326" s="49"/>
      <c r="M326" s="107"/>
      <c r="N326" s="116"/>
    </row>
    <row r="327">
      <c r="C327" s="107"/>
      <c r="D327" s="108"/>
      <c r="E327" s="114"/>
      <c r="F327" s="107"/>
      <c r="H327" s="111"/>
      <c r="I327" s="111"/>
      <c r="J327" s="115"/>
      <c r="K327" s="107"/>
      <c r="L327" s="49"/>
      <c r="M327" s="107"/>
      <c r="N327" s="116"/>
    </row>
    <row r="328">
      <c r="C328" s="107"/>
      <c r="D328" s="108"/>
      <c r="E328" s="114"/>
      <c r="F328" s="107"/>
      <c r="H328" s="111"/>
      <c r="I328" s="111"/>
      <c r="J328" s="115"/>
      <c r="K328" s="107"/>
      <c r="L328" s="49"/>
      <c r="M328" s="107"/>
      <c r="N328" s="116"/>
    </row>
    <row r="329">
      <c r="C329" s="107"/>
      <c r="D329" s="108"/>
      <c r="E329" s="114"/>
      <c r="F329" s="107"/>
      <c r="H329" s="111"/>
      <c r="I329" s="111"/>
      <c r="J329" s="115"/>
      <c r="K329" s="107"/>
      <c r="L329" s="49"/>
      <c r="M329" s="107"/>
      <c r="N329" s="116"/>
    </row>
    <row r="330">
      <c r="C330" s="107"/>
      <c r="D330" s="108"/>
      <c r="E330" s="114"/>
      <c r="F330" s="107"/>
      <c r="H330" s="111"/>
      <c r="I330" s="111"/>
      <c r="J330" s="115"/>
      <c r="K330" s="107"/>
      <c r="L330" s="49"/>
      <c r="M330" s="107"/>
      <c r="N330" s="116"/>
    </row>
    <row r="331">
      <c r="C331" s="107"/>
      <c r="D331" s="108"/>
      <c r="E331" s="114"/>
      <c r="F331" s="107"/>
      <c r="H331" s="111"/>
      <c r="I331" s="111"/>
      <c r="J331" s="115"/>
      <c r="K331" s="107"/>
      <c r="L331" s="49"/>
      <c r="M331" s="107"/>
      <c r="N331" s="116"/>
    </row>
    <row r="332">
      <c r="C332" s="107"/>
      <c r="D332" s="108"/>
      <c r="E332" s="114"/>
      <c r="F332" s="107"/>
      <c r="H332" s="111"/>
      <c r="I332" s="111"/>
      <c r="J332" s="115"/>
      <c r="K332" s="107"/>
      <c r="L332" s="49"/>
      <c r="M332" s="107"/>
      <c r="N332" s="116"/>
    </row>
    <row r="333">
      <c r="C333" s="107"/>
      <c r="D333" s="108"/>
      <c r="E333" s="114"/>
      <c r="F333" s="107"/>
      <c r="H333" s="111"/>
      <c r="I333" s="111"/>
      <c r="J333" s="115"/>
      <c r="K333" s="107"/>
      <c r="L333" s="49"/>
      <c r="M333" s="107"/>
      <c r="N333" s="116"/>
    </row>
    <row r="334">
      <c r="C334" s="107"/>
      <c r="D334" s="108"/>
      <c r="E334" s="114"/>
      <c r="F334" s="107"/>
      <c r="H334" s="111"/>
      <c r="I334" s="111"/>
      <c r="J334" s="115"/>
      <c r="K334" s="107"/>
      <c r="L334" s="49"/>
      <c r="M334" s="107"/>
      <c r="N334" s="116"/>
    </row>
    <row r="335">
      <c r="C335" s="107"/>
      <c r="D335" s="108"/>
      <c r="E335" s="114"/>
      <c r="F335" s="107"/>
      <c r="H335" s="111"/>
      <c r="I335" s="111"/>
      <c r="J335" s="115"/>
      <c r="K335" s="107"/>
      <c r="L335" s="49"/>
      <c r="M335" s="107"/>
      <c r="N335" s="116"/>
    </row>
    <row r="336">
      <c r="C336" s="107"/>
      <c r="D336" s="108"/>
      <c r="E336" s="114"/>
      <c r="F336" s="107"/>
      <c r="H336" s="111"/>
      <c r="I336" s="111"/>
      <c r="J336" s="115"/>
      <c r="K336" s="107"/>
      <c r="L336" s="49"/>
      <c r="M336" s="107"/>
      <c r="N336" s="116"/>
    </row>
    <row r="337">
      <c r="C337" s="107"/>
      <c r="D337" s="108"/>
      <c r="E337" s="114"/>
      <c r="F337" s="107"/>
      <c r="H337" s="111"/>
      <c r="I337" s="111"/>
      <c r="J337" s="115"/>
      <c r="K337" s="107"/>
      <c r="L337" s="49"/>
      <c r="M337" s="107"/>
      <c r="N337" s="116"/>
    </row>
    <row r="338">
      <c r="C338" s="107"/>
      <c r="D338" s="108"/>
      <c r="E338" s="114"/>
      <c r="F338" s="107"/>
      <c r="H338" s="111"/>
      <c r="I338" s="111"/>
      <c r="J338" s="115"/>
      <c r="K338" s="107"/>
      <c r="L338" s="49"/>
      <c r="M338" s="107"/>
      <c r="N338" s="116"/>
    </row>
    <row r="339">
      <c r="C339" s="107"/>
      <c r="D339" s="108"/>
      <c r="E339" s="114"/>
      <c r="F339" s="107"/>
      <c r="H339" s="111"/>
      <c r="I339" s="111"/>
      <c r="J339" s="115"/>
      <c r="K339" s="107"/>
      <c r="L339" s="49"/>
      <c r="M339" s="107"/>
      <c r="N339" s="116"/>
    </row>
    <row r="340">
      <c r="C340" s="107"/>
      <c r="D340" s="108"/>
      <c r="E340" s="114"/>
      <c r="F340" s="107"/>
      <c r="H340" s="111"/>
      <c r="I340" s="111"/>
      <c r="J340" s="115"/>
      <c r="K340" s="107"/>
      <c r="L340" s="49"/>
      <c r="M340" s="107"/>
      <c r="N340" s="116"/>
    </row>
    <row r="341">
      <c r="C341" s="107"/>
      <c r="D341" s="108"/>
      <c r="E341" s="114"/>
      <c r="F341" s="107"/>
      <c r="H341" s="111"/>
      <c r="I341" s="111"/>
      <c r="J341" s="115"/>
      <c r="K341" s="107"/>
      <c r="L341" s="49"/>
      <c r="M341" s="107"/>
      <c r="N341" s="116"/>
    </row>
    <row r="342">
      <c r="C342" s="107"/>
      <c r="D342" s="108"/>
      <c r="E342" s="114"/>
      <c r="F342" s="107"/>
      <c r="H342" s="111"/>
      <c r="I342" s="111"/>
      <c r="J342" s="115"/>
      <c r="K342" s="107"/>
      <c r="L342" s="49"/>
      <c r="M342" s="107"/>
      <c r="N342" s="116"/>
    </row>
    <row r="343">
      <c r="C343" s="107"/>
      <c r="D343" s="108"/>
      <c r="E343" s="114"/>
      <c r="F343" s="107"/>
      <c r="H343" s="111"/>
      <c r="I343" s="111"/>
      <c r="J343" s="115"/>
      <c r="K343" s="107"/>
      <c r="L343" s="49"/>
      <c r="M343" s="107"/>
      <c r="N343" s="116"/>
    </row>
    <row r="344">
      <c r="C344" s="107"/>
      <c r="D344" s="108"/>
      <c r="E344" s="114"/>
      <c r="F344" s="107"/>
      <c r="H344" s="111"/>
      <c r="I344" s="111"/>
      <c r="J344" s="115"/>
      <c r="K344" s="107"/>
      <c r="L344" s="49"/>
      <c r="M344" s="107"/>
      <c r="N344" s="116"/>
    </row>
    <row r="345">
      <c r="C345" s="107"/>
      <c r="D345" s="108"/>
      <c r="E345" s="114"/>
      <c r="F345" s="107"/>
      <c r="H345" s="111"/>
      <c r="I345" s="111"/>
      <c r="J345" s="115"/>
      <c r="K345" s="107"/>
      <c r="L345" s="49"/>
      <c r="M345" s="107"/>
      <c r="N345" s="116"/>
    </row>
    <row r="346">
      <c r="C346" s="107"/>
      <c r="D346" s="108"/>
      <c r="E346" s="114"/>
      <c r="F346" s="107"/>
      <c r="H346" s="111"/>
      <c r="I346" s="111"/>
      <c r="J346" s="115"/>
      <c r="K346" s="107"/>
      <c r="L346" s="49"/>
      <c r="M346" s="107"/>
      <c r="N346" s="116"/>
    </row>
    <row r="347">
      <c r="C347" s="107"/>
      <c r="D347" s="108"/>
      <c r="E347" s="114"/>
      <c r="F347" s="107"/>
      <c r="H347" s="111"/>
      <c r="I347" s="111"/>
      <c r="J347" s="115"/>
      <c r="K347" s="107"/>
      <c r="L347" s="49"/>
      <c r="M347" s="107"/>
      <c r="N347" s="116"/>
    </row>
    <row r="348">
      <c r="C348" s="107"/>
      <c r="D348" s="108"/>
      <c r="E348" s="114"/>
      <c r="F348" s="107"/>
      <c r="H348" s="111"/>
      <c r="I348" s="111"/>
      <c r="J348" s="115"/>
      <c r="K348" s="107"/>
      <c r="L348" s="49"/>
      <c r="M348" s="107"/>
      <c r="N348" s="116"/>
    </row>
    <row r="349">
      <c r="C349" s="107"/>
      <c r="D349" s="108"/>
      <c r="E349" s="114"/>
      <c r="F349" s="107"/>
      <c r="H349" s="111"/>
      <c r="I349" s="111"/>
      <c r="J349" s="115"/>
      <c r="K349" s="107"/>
      <c r="L349" s="49"/>
      <c r="M349" s="107"/>
      <c r="N349" s="116"/>
    </row>
    <row r="350">
      <c r="C350" s="107"/>
      <c r="D350" s="108"/>
      <c r="E350" s="114"/>
      <c r="F350" s="107"/>
      <c r="H350" s="111"/>
      <c r="I350" s="111"/>
      <c r="J350" s="115"/>
      <c r="K350" s="107"/>
      <c r="L350" s="49"/>
      <c r="M350" s="107"/>
      <c r="N350" s="116"/>
    </row>
    <row r="351">
      <c r="C351" s="107"/>
      <c r="D351" s="108"/>
      <c r="E351" s="114"/>
      <c r="F351" s="107"/>
      <c r="H351" s="111"/>
      <c r="I351" s="111"/>
      <c r="J351" s="115"/>
      <c r="K351" s="107"/>
      <c r="L351" s="49"/>
      <c r="M351" s="107"/>
      <c r="N351" s="116"/>
    </row>
    <row r="352">
      <c r="C352" s="107"/>
      <c r="D352" s="108"/>
      <c r="E352" s="114"/>
      <c r="F352" s="107"/>
      <c r="H352" s="111"/>
      <c r="I352" s="111"/>
      <c r="J352" s="115"/>
      <c r="K352" s="107"/>
      <c r="L352" s="49"/>
      <c r="M352" s="107"/>
      <c r="N352" s="116"/>
    </row>
    <row r="353">
      <c r="C353" s="107"/>
      <c r="D353" s="108"/>
      <c r="E353" s="114"/>
      <c r="F353" s="107"/>
      <c r="H353" s="111"/>
      <c r="I353" s="111"/>
      <c r="J353" s="115"/>
      <c r="K353" s="107"/>
      <c r="L353" s="49"/>
      <c r="M353" s="107"/>
      <c r="N353" s="116"/>
    </row>
    <row r="354">
      <c r="C354" s="107"/>
      <c r="D354" s="108"/>
      <c r="E354" s="114"/>
      <c r="F354" s="107"/>
      <c r="H354" s="111"/>
      <c r="I354" s="111"/>
      <c r="J354" s="115"/>
      <c r="K354" s="107"/>
      <c r="L354" s="49"/>
      <c r="M354" s="107"/>
      <c r="N354" s="116"/>
    </row>
    <row r="355">
      <c r="C355" s="107"/>
      <c r="D355" s="108"/>
      <c r="E355" s="114"/>
      <c r="F355" s="107"/>
      <c r="H355" s="111"/>
      <c r="I355" s="111"/>
      <c r="J355" s="115"/>
      <c r="K355" s="107"/>
      <c r="L355" s="49"/>
      <c r="M355" s="107"/>
      <c r="N355" s="116"/>
    </row>
    <row r="356">
      <c r="C356" s="107"/>
      <c r="D356" s="108"/>
      <c r="E356" s="114"/>
      <c r="F356" s="107"/>
      <c r="H356" s="111"/>
      <c r="I356" s="111"/>
      <c r="J356" s="115"/>
      <c r="K356" s="107"/>
      <c r="L356" s="49"/>
      <c r="M356" s="107"/>
      <c r="N356" s="116"/>
    </row>
    <row r="357">
      <c r="C357" s="107"/>
      <c r="D357" s="108"/>
      <c r="E357" s="114"/>
      <c r="F357" s="107"/>
      <c r="H357" s="111"/>
      <c r="I357" s="111"/>
      <c r="J357" s="115"/>
      <c r="K357" s="107"/>
      <c r="L357" s="49"/>
      <c r="M357" s="107"/>
      <c r="N357" s="116"/>
    </row>
    <row r="358">
      <c r="C358" s="107"/>
      <c r="D358" s="108"/>
      <c r="E358" s="114"/>
      <c r="F358" s="107"/>
      <c r="H358" s="111"/>
      <c r="I358" s="111"/>
      <c r="J358" s="115"/>
      <c r="K358" s="107"/>
      <c r="L358" s="49"/>
      <c r="M358" s="107"/>
      <c r="N358" s="116"/>
    </row>
    <row r="359">
      <c r="C359" s="107"/>
      <c r="D359" s="108"/>
      <c r="E359" s="114"/>
      <c r="F359" s="107"/>
      <c r="H359" s="111"/>
      <c r="I359" s="111"/>
      <c r="J359" s="115"/>
      <c r="K359" s="107"/>
      <c r="L359" s="49"/>
      <c r="M359" s="107"/>
      <c r="N359" s="116"/>
    </row>
    <row r="360">
      <c r="C360" s="107"/>
      <c r="D360" s="108"/>
      <c r="E360" s="114"/>
      <c r="F360" s="107"/>
      <c r="H360" s="111"/>
      <c r="I360" s="111"/>
      <c r="J360" s="115"/>
      <c r="K360" s="107"/>
      <c r="L360" s="49"/>
      <c r="M360" s="107"/>
      <c r="N360" s="116"/>
    </row>
    <row r="361">
      <c r="C361" s="107"/>
      <c r="D361" s="108"/>
      <c r="E361" s="114"/>
      <c r="F361" s="107"/>
      <c r="H361" s="111"/>
      <c r="I361" s="111"/>
      <c r="J361" s="115"/>
      <c r="K361" s="107"/>
      <c r="L361" s="49"/>
      <c r="M361" s="107"/>
      <c r="N361" s="116"/>
    </row>
    <row r="362">
      <c r="C362" s="107"/>
      <c r="D362" s="108"/>
      <c r="E362" s="114"/>
      <c r="F362" s="107"/>
      <c r="H362" s="111"/>
      <c r="I362" s="111"/>
      <c r="J362" s="115"/>
      <c r="K362" s="107"/>
      <c r="L362" s="49"/>
      <c r="M362" s="107"/>
      <c r="N362" s="116"/>
    </row>
    <row r="363">
      <c r="C363" s="107"/>
      <c r="D363" s="108"/>
      <c r="E363" s="114"/>
      <c r="F363" s="107"/>
      <c r="H363" s="111"/>
      <c r="I363" s="111"/>
      <c r="J363" s="115"/>
      <c r="K363" s="107"/>
      <c r="L363" s="49"/>
      <c r="M363" s="107"/>
      <c r="N363" s="116"/>
    </row>
    <row r="364">
      <c r="C364" s="107"/>
      <c r="D364" s="108"/>
      <c r="E364" s="114"/>
      <c r="F364" s="107"/>
      <c r="H364" s="111"/>
      <c r="I364" s="111"/>
      <c r="J364" s="115"/>
      <c r="K364" s="107"/>
      <c r="L364" s="49"/>
      <c r="M364" s="107"/>
      <c r="N364" s="116"/>
    </row>
    <row r="365">
      <c r="C365" s="107"/>
      <c r="D365" s="108"/>
      <c r="E365" s="114"/>
      <c r="F365" s="107"/>
      <c r="H365" s="111"/>
      <c r="I365" s="111"/>
      <c r="J365" s="115"/>
      <c r="K365" s="107"/>
      <c r="L365" s="49"/>
      <c r="M365" s="107"/>
      <c r="N365" s="116"/>
    </row>
    <row r="366">
      <c r="C366" s="107"/>
      <c r="D366" s="108"/>
      <c r="E366" s="114"/>
      <c r="F366" s="107"/>
      <c r="H366" s="111"/>
      <c r="I366" s="111"/>
      <c r="J366" s="115"/>
      <c r="K366" s="107"/>
      <c r="L366" s="49"/>
      <c r="M366" s="107"/>
      <c r="N366" s="116"/>
    </row>
    <row r="367">
      <c r="C367" s="107"/>
      <c r="D367" s="108"/>
      <c r="E367" s="114"/>
      <c r="F367" s="107"/>
      <c r="H367" s="111"/>
      <c r="I367" s="111"/>
      <c r="J367" s="115"/>
      <c r="K367" s="107"/>
      <c r="L367" s="49"/>
      <c r="M367" s="107"/>
      <c r="N367" s="116"/>
    </row>
    <row r="368">
      <c r="C368" s="107"/>
      <c r="D368" s="108"/>
      <c r="E368" s="114"/>
      <c r="F368" s="107"/>
      <c r="H368" s="111"/>
      <c r="I368" s="111"/>
      <c r="J368" s="115"/>
      <c r="K368" s="107"/>
      <c r="L368" s="49"/>
      <c r="M368" s="107"/>
      <c r="N368" s="116"/>
    </row>
    <row r="369">
      <c r="C369" s="107"/>
      <c r="D369" s="108"/>
      <c r="E369" s="114"/>
      <c r="F369" s="107"/>
      <c r="H369" s="111"/>
      <c r="I369" s="111"/>
      <c r="J369" s="115"/>
      <c r="K369" s="107"/>
      <c r="L369" s="49"/>
      <c r="M369" s="107"/>
      <c r="N369" s="116"/>
    </row>
    <row r="370">
      <c r="C370" s="107"/>
      <c r="D370" s="108"/>
      <c r="E370" s="114"/>
      <c r="F370" s="107"/>
      <c r="H370" s="111"/>
      <c r="I370" s="111"/>
      <c r="J370" s="115"/>
      <c r="K370" s="107"/>
      <c r="L370" s="49"/>
      <c r="M370" s="107"/>
      <c r="N370" s="116"/>
    </row>
    <row r="371">
      <c r="C371" s="107"/>
      <c r="D371" s="108"/>
      <c r="E371" s="114"/>
      <c r="F371" s="107"/>
      <c r="H371" s="111"/>
      <c r="I371" s="111"/>
      <c r="J371" s="115"/>
      <c r="K371" s="107"/>
      <c r="L371" s="49"/>
      <c r="M371" s="107"/>
      <c r="N371" s="116"/>
    </row>
    <row r="372">
      <c r="C372" s="107"/>
      <c r="D372" s="108"/>
      <c r="E372" s="114"/>
      <c r="F372" s="107"/>
      <c r="H372" s="111"/>
      <c r="I372" s="111"/>
      <c r="J372" s="115"/>
      <c r="K372" s="107"/>
      <c r="L372" s="49"/>
      <c r="M372" s="107"/>
      <c r="N372" s="116"/>
    </row>
    <row r="373">
      <c r="C373" s="107"/>
      <c r="D373" s="108"/>
      <c r="E373" s="114"/>
      <c r="F373" s="107"/>
      <c r="H373" s="111"/>
      <c r="I373" s="111"/>
      <c r="J373" s="115"/>
      <c r="K373" s="107"/>
      <c r="L373" s="49"/>
      <c r="M373" s="107"/>
      <c r="N373" s="116"/>
    </row>
    <row r="374">
      <c r="C374" s="107"/>
      <c r="D374" s="108"/>
      <c r="E374" s="114"/>
      <c r="F374" s="107"/>
      <c r="H374" s="111"/>
      <c r="I374" s="111"/>
      <c r="J374" s="115"/>
      <c r="K374" s="107"/>
      <c r="L374" s="49"/>
      <c r="M374" s="107"/>
      <c r="N374" s="116"/>
    </row>
    <row r="375">
      <c r="C375" s="107"/>
      <c r="D375" s="108"/>
      <c r="E375" s="114"/>
      <c r="F375" s="107"/>
      <c r="H375" s="111"/>
      <c r="I375" s="111"/>
      <c r="J375" s="115"/>
      <c r="K375" s="107"/>
      <c r="L375" s="49"/>
      <c r="M375" s="107"/>
      <c r="N375" s="116"/>
    </row>
    <row r="376">
      <c r="C376" s="107"/>
      <c r="D376" s="108"/>
      <c r="E376" s="114"/>
      <c r="F376" s="107"/>
      <c r="H376" s="111"/>
      <c r="I376" s="111"/>
      <c r="J376" s="115"/>
      <c r="K376" s="107"/>
      <c r="L376" s="49"/>
      <c r="M376" s="107"/>
      <c r="N376" s="116"/>
    </row>
    <row r="377">
      <c r="C377" s="107"/>
      <c r="D377" s="108"/>
      <c r="E377" s="114"/>
      <c r="F377" s="107"/>
      <c r="H377" s="111"/>
      <c r="I377" s="111"/>
      <c r="J377" s="115"/>
      <c r="K377" s="107"/>
      <c r="L377" s="49"/>
      <c r="M377" s="107"/>
      <c r="N377" s="116"/>
    </row>
    <row r="378">
      <c r="C378" s="107"/>
      <c r="D378" s="108"/>
      <c r="E378" s="114"/>
      <c r="F378" s="107"/>
      <c r="H378" s="111"/>
      <c r="I378" s="111"/>
      <c r="J378" s="115"/>
      <c r="K378" s="107"/>
      <c r="L378" s="49"/>
      <c r="M378" s="107"/>
      <c r="N378" s="116"/>
    </row>
    <row r="379">
      <c r="C379" s="107"/>
      <c r="D379" s="108"/>
      <c r="E379" s="114"/>
      <c r="F379" s="107"/>
      <c r="H379" s="111"/>
      <c r="I379" s="111"/>
      <c r="J379" s="115"/>
      <c r="K379" s="107"/>
      <c r="L379" s="49"/>
      <c r="M379" s="107"/>
      <c r="N379" s="116"/>
    </row>
    <row r="380">
      <c r="C380" s="107"/>
      <c r="D380" s="108"/>
      <c r="E380" s="114"/>
      <c r="F380" s="107"/>
      <c r="H380" s="111"/>
      <c r="I380" s="111"/>
      <c r="J380" s="115"/>
      <c r="K380" s="107"/>
      <c r="L380" s="49"/>
      <c r="M380" s="107"/>
      <c r="N380" s="116"/>
    </row>
    <row r="381">
      <c r="C381" s="107"/>
      <c r="D381" s="108"/>
      <c r="E381" s="114"/>
      <c r="F381" s="107"/>
      <c r="H381" s="111"/>
      <c r="I381" s="111"/>
      <c r="J381" s="115"/>
      <c r="K381" s="107"/>
      <c r="L381" s="49"/>
      <c r="M381" s="107"/>
      <c r="N381" s="116"/>
    </row>
    <row r="382">
      <c r="C382" s="107"/>
      <c r="D382" s="108"/>
      <c r="E382" s="114"/>
      <c r="F382" s="107"/>
      <c r="H382" s="111"/>
      <c r="I382" s="111"/>
      <c r="J382" s="115"/>
      <c r="K382" s="107"/>
      <c r="L382" s="49"/>
      <c r="M382" s="107"/>
      <c r="N382" s="116"/>
    </row>
    <row r="383">
      <c r="C383" s="107"/>
      <c r="D383" s="108"/>
      <c r="E383" s="114"/>
      <c r="F383" s="107"/>
      <c r="H383" s="111"/>
      <c r="I383" s="111"/>
      <c r="J383" s="115"/>
      <c r="K383" s="107"/>
      <c r="L383" s="49"/>
      <c r="M383" s="107"/>
      <c r="N383" s="116"/>
    </row>
    <row r="384">
      <c r="C384" s="107"/>
      <c r="D384" s="108"/>
      <c r="E384" s="114"/>
      <c r="F384" s="107"/>
      <c r="H384" s="111"/>
      <c r="I384" s="111"/>
      <c r="J384" s="115"/>
      <c r="K384" s="107"/>
      <c r="L384" s="49"/>
      <c r="M384" s="107"/>
      <c r="N384" s="116"/>
    </row>
    <row r="385">
      <c r="C385" s="107"/>
      <c r="D385" s="108"/>
      <c r="E385" s="114"/>
      <c r="F385" s="107"/>
      <c r="H385" s="111"/>
      <c r="I385" s="111"/>
      <c r="J385" s="115"/>
      <c r="K385" s="107"/>
      <c r="L385" s="49"/>
      <c r="M385" s="107"/>
      <c r="N385" s="116"/>
    </row>
    <row r="386">
      <c r="C386" s="107"/>
      <c r="D386" s="108"/>
      <c r="E386" s="114"/>
      <c r="F386" s="107"/>
      <c r="H386" s="111"/>
      <c r="I386" s="111"/>
      <c r="J386" s="115"/>
      <c r="K386" s="107"/>
      <c r="L386" s="49"/>
      <c r="M386" s="107"/>
      <c r="N386" s="116"/>
    </row>
    <row r="387">
      <c r="C387" s="107"/>
      <c r="D387" s="108"/>
      <c r="E387" s="114"/>
      <c r="F387" s="107"/>
      <c r="H387" s="111"/>
      <c r="I387" s="111"/>
      <c r="J387" s="115"/>
      <c r="K387" s="107"/>
      <c r="L387" s="49"/>
      <c r="M387" s="107"/>
      <c r="N387" s="116"/>
    </row>
    <row r="388">
      <c r="C388" s="107"/>
      <c r="D388" s="108"/>
      <c r="E388" s="114"/>
      <c r="F388" s="107"/>
      <c r="H388" s="111"/>
      <c r="I388" s="111"/>
      <c r="J388" s="115"/>
      <c r="K388" s="107"/>
      <c r="L388" s="49"/>
      <c r="M388" s="107"/>
      <c r="N388" s="116"/>
    </row>
    <row r="389">
      <c r="C389" s="107"/>
      <c r="D389" s="108"/>
      <c r="E389" s="114"/>
      <c r="F389" s="107"/>
      <c r="H389" s="111"/>
      <c r="I389" s="111"/>
      <c r="J389" s="115"/>
      <c r="K389" s="107"/>
      <c r="L389" s="49"/>
      <c r="M389" s="107"/>
      <c r="N389" s="116"/>
    </row>
    <row r="390">
      <c r="C390" s="107"/>
      <c r="D390" s="108"/>
      <c r="E390" s="114"/>
      <c r="F390" s="107"/>
      <c r="H390" s="111"/>
      <c r="I390" s="111"/>
      <c r="J390" s="115"/>
      <c r="K390" s="107"/>
      <c r="L390" s="49"/>
      <c r="M390" s="107"/>
      <c r="N390" s="116"/>
    </row>
    <row r="391">
      <c r="C391" s="107"/>
      <c r="D391" s="108"/>
      <c r="E391" s="114"/>
      <c r="F391" s="107"/>
      <c r="H391" s="111"/>
      <c r="I391" s="111"/>
      <c r="J391" s="115"/>
      <c r="K391" s="107"/>
      <c r="L391" s="49"/>
      <c r="M391" s="107"/>
      <c r="N391" s="116"/>
    </row>
    <row r="392">
      <c r="C392" s="107"/>
      <c r="D392" s="108"/>
      <c r="E392" s="114"/>
      <c r="F392" s="107"/>
      <c r="H392" s="111"/>
      <c r="I392" s="111"/>
      <c r="J392" s="115"/>
      <c r="K392" s="107"/>
      <c r="L392" s="49"/>
      <c r="M392" s="107"/>
      <c r="N392" s="116"/>
    </row>
    <row r="393">
      <c r="C393" s="107"/>
      <c r="D393" s="108"/>
      <c r="E393" s="114"/>
      <c r="F393" s="107"/>
      <c r="H393" s="111"/>
      <c r="I393" s="111"/>
      <c r="J393" s="115"/>
      <c r="K393" s="107"/>
      <c r="L393" s="49"/>
      <c r="M393" s="107"/>
      <c r="N393" s="116"/>
    </row>
    <row r="394">
      <c r="C394" s="107"/>
      <c r="D394" s="108"/>
      <c r="E394" s="114"/>
      <c r="F394" s="107"/>
      <c r="H394" s="111"/>
      <c r="I394" s="111"/>
      <c r="J394" s="115"/>
      <c r="K394" s="107"/>
      <c r="L394" s="49"/>
      <c r="M394" s="107"/>
      <c r="N394" s="116"/>
    </row>
    <row r="395">
      <c r="C395" s="107"/>
      <c r="D395" s="108"/>
      <c r="E395" s="114"/>
      <c r="F395" s="107"/>
      <c r="H395" s="111"/>
      <c r="I395" s="111"/>
      <c r="J395" s="115"/>
      <c r="K395" s="107"/>
      <c r="L395" s="49"/>
      <c r="M395" s="107"/>
      <c r="N395" s="116"/>
    </row>
    <row r="396">
      <c r="C396" s="107"/>
      <c r="D396" s="108"/>
      <c r="E396" s="114"/>
      <c r="F396" s="107"/>
      <c r="H396" s="111"/>
      <c r="I396" s="111"/>
      <c r="J396" s="115"/>
      <c r="K396" s="107"/>
      <c r="L396" s="49"/>
      <c r="M396" s="107"/>
      <c r="N396" s="116"/>
    </row>
    <row r="397">
      <c r="C397" s="107"/>
      <c r="D397" s="108"/>
      <c r="E397" s="114"/>
      <c r="F397" s="107"/>
      <c r="H397" s="111"/>
      <c r="I397" s="111"/>
      <c r="J397" s="115"/>
      <c r="K397" s="107"/>
      <c r="L397" s="49"/>
      <c r="M397" s="107"/>
      <c r="N397" s="116"/>
    </row>
    <row r="398">
      <c r="C398" s="107"/>
      <c r="D398" s="108"/>
      <c r="E398" s="114"/>
      <c r="F398" s="107"/>
      <c r="H398" s="111"/>
      <c r="I398" s="111"/>
      <c r="J398" s="115"/>
      <c r="K398" s="107"/>
      <c r="L398" s="49"/>
      <c r="M398" s="107"/>
      <c r="N398" s="116"/>
    </row>
    <row r="399">
      <c r="C399" s="107"/>
      <c r="D399" s="108"/>
      <c r="E399" s="114"/>
      <c r="F399" s="107"/>
      <c r="H399" s="111"/>
      <c r="I399" s="111"/>
      <c r="J399" s="115"/>
      <c r="K399" s="107"/>
      <c r="L399" s="49"/>
      <c r="M399" s="107"/>
      <c r="N399" s="116"/>
    </row>
    <row r="400">
      <c r="C400" s="107"/>
      <c r="D400" s="108"/>
      <c r="E400" s="114"/>
      <c r="F400" s="107"/>
      <c r="H400" s="111"/>
      <c r="I400" s="111"/>
      <c r="J400" s="115"/>
      <c r="K400" s="107"/>
      <c r="L400" s="49"/>
      <c r="M400" s="107"/>
      <c r="N400" s="116"/>
    </row>
    <row r="401">
      <c r="C401" s="107"/>
      <c r="D401" s="108"/>
      <c r="E401" s="114"/>
      <c r="F401" s="107"/>
      <c r="H401" s="111"/>
      <c r="I401" s="111"/>
      <c r="J401" s="115"/>
      <c r="K401" s="107"/>
      <c r="L401" s="49"/>
      <c r="M401" s="107"/>
      <c r="N401" s="116"/>
    </row>
    <row r="402">
      <c r="C402" s="107"/>
      <c r="D402" s="108"/>
      <c r="E402" s="114"/>
      <c r="F402" s="107"/>
      <c r="H402" s="111"/>
      <c r="I402" s="111"/>
      <c r="J402" s="115"/>
      <c r="K402" s="107"/>
      <c r="L402" s="49"/>
      <c r="M402" s="107"/>
      <c r="N402" s="116"/>
    </row>
    <row r="403">
      <c r="C403" s="107"/>
      <c r="D403" s="108"/>
      <c r="E403" s="114"/>
      <c r="F403" s="107"/>
      <c r="H403" s="111"/>
      <c r="I403" s="111"/>
      <c r="J403" s="115"/>
      <c r="K403" s="107"/>
      <c r="L403" s="49"/>
      <c r="M403" s="107"/>
      <c r="N403" s="116"/>
    </row>
    <row r="404">
      <c r="C404" s="107"/>
      <c r="D404" s="108"/>
      <c r="E404" s="114"/>
      <c r="F404" s="107"/>
      <c r="H404" s="111"/>
      <c r="I404" s="111"/>
      <c r="J404" s="115"/>
      <c r="K404" s="107"/>
      <c r="L404" s="49"/>
      <c r="M404" s="107"/>
      <c r="N404" s="116"/>
    </row>
    <row r="405">
      <c r="C405" s="107"/>
      <c r="D405" s="108"/>
      <c r="E405" s="114"/>
      <c r="F405" s="107"/>
      <c r="H405" s="111"/>
      <c r="I405" s="111"/>
      <c r="J405" s="115"/>
      <c r="K405" s="107"/>
      <c r="L405" s="49"/>
      <c r="M405" s="107"/>
      <c r="N405" s="116"/>
    </row>
    <row r="406">
      <c r="C406" s="107"/>
      <c r="D406" s="108"/>
      <c r="E406" s="114"/>
      <c r="F406" s="107"/>
      <c r="H406" s="111"/>
      <c r="I406" s="111"/>
      <c r="J406" s="115"/>
      <c r="K406" s="107"/>
      <c r="L406" s="49"/>
      <c r="M406" s="107"/>
      <c r="N406" s="116"/>
    </row>
    <row r="407">
      <c r="C407" s="107"/>
      <c r="D407" s="108"/>
      <c r="E407" s="114"/>
      <c r="F407" s="107"/>
      <c r="H407" s="111"/>
      <c r="I407" s="111"/>
      <c r="J407" s="115"/>
      <c r="K407" s="107"/>
      <c r="L407" s="49"/>
      <c r="M407" s="107"/>
      <c r="N407" s="116"/>
    </row>
    <row r="408">
      <c r="C408" s="107"/>
      <c r="D408" s="108"/>
      <c r="E408" s="114"/>
      <c r="F408" s="107"/>
      <c r="H408" s="111"/>
      <c r="I408" s="111"/>
      <c r="J408" s="115"/>
      <c r="K408" s="107"/>
      <c r="L408" s="49"/>
      <c r="M408" s="107"/>
      <c r="N408" s="116"/>
    </row>
    <row r="409">
      <c r="C409" s="107"/>
      <c r="D409" s="108"/>
      <c r="E409" s="114"/>
      <c r="F409" s="107"/>
      <c r="H409" s="111"/>
      <c r="I409" s="111"/>
      <c r="J409" s="115"/>
      <c r="K409" s="107"/>
      <c r="L409" s="49"/>
      <c r="M409" s="107"/>
      <c r="N409" s="116"/>
    </row>
    <row r="410">
      <c r="C410" s="107"/>
      <c r="D410" s="108"/>
      <c r="E410" s="114"/>
      <c r="F410" s="107"/>
      <c r="H410" s="111"/>
      <c r="I410" s="111"/>
      <c r="J410" s="115"/>
      <c r="K410" s="107"/>
      <c r="L410" s="49"/>
      <c r="M410" s="107"/>
      <c r="N410" s="116"/>
    </row>
    <row r="411">
      <c r="C411" s="107"/>
      <c r="D411" s="108"/>
      <c r="E411" s="114"/>
      <c r="F411" s="107"/>
      <c r="H411" s="111"/>
      <c r="I411" s="111"/>
      <c r="J411" s="115"/>
      <c r="K411" s="107"/>
      <c r="L411" s="49"/>
      <c r="M411" s="107"/>
      <c r="N411" s="116"/>
    </row>
    <row r="412">
      <c r="C412" s="107"/>
      <c r="D412" s="108"/>
      <c r="E412" s="114"/>
      <c r="F412" s="107"/>
      <c r="H412" s="111"/>
      <c r="I412" s="111"/>
      <c r="J412" s="115"/>
      <c r="K412" s="107"/>
      <c r="L412" s="49"/>
      <c r="M412" s="107"/>
      <c r="N412" s="116"/>
    </row>
    <row r="413">
      <c r="C413" s="107"/>
      <c r="D413" s="108"/>
      <c r="E413" s="114"/>
      <c r="F413" s="107"/>
      <c r="H413" s="111"/>
      <c r="I413" s="111"/>
      <c r="J413" s="115"/>
      <c r="K413" s="107"/>
      <c r="L413" s="49"/>
      <c r="M413" s="107"/>
      <c r="N413" s="116"/>
    </row>
    <row r="414">
      <c r="C414" s="107"/>
      <c r="D414" s="108"/>
      <c r="E414" s="114"/>
      <c r="F414" s="107"/>
      <c r="H414" s="111"/>
      <c r="I414" s="111"/>
      <c r="J414" s="115"/>
      <c r="K414" s="107"/>
      <c r="L414" s="49"/>
      <c r="M414" s="107"/>
      <c r="N414" s="116"/>
    </row>
    <row r="415">
      <c r="C415" s="107"/>
      <c r="D415" s="108"/>
      <c r="E415" s="114"/>
      <c r="F415" s="107"/>
      <c r="H415" s="111"/>
      <c r="I415" s="111"/>
      <c r="J415" s="115"/>
      <c r="K415" s="107"/>
      <c r="L415" s="49"/>
      <c r="M415" s="107"/>
      <c r="N415" s="116"/>
    </row>
    <row r="416">
      <c r="C416" s="107"/>
      <c r="D416" s="108"/>
      <c r="E416" s="114"/>
      <c r="F416" s="107"/>
      <c r="H416" s="111"/>
      <c r="I416" s="111"/>
      <c r="J416" s="115"/>
      <c r="K416" s="107"/>
      <c r="L416" s="49"/>
      <c r="M416" s="107"/>
      <c r="N416" s="116"/>
    </row>
    <row r="417">
      <c r="C417" s="107"/>
      <c r="D417" s="108"/>
      <c r="E417" s="114"/>
      <c r="F417" s="107"/>
      <c r="H417" s="111"/>
      <c r="I417" s="111"/>
      <c r="J417" s="115"/>
      <c r="K417" s="107"/>
      <c r="L417" s="49"/>
      <c r="M417" s="107"/>
      <c r="N417" s="116"/>
    </row>
    <row r="418">
      <c r="C418" s="107"/>
      <c r="D418" s="108"/>
      <c r="E418" s="114"/>
      <c r="F418" s="107"/>
      <c r="H418" s="111"/>
      <c r="I418" s="111"/>
      <c r="J418" s="115"/>
      <c r="K418" s="107"/>
      <c r="L418" s="49"/>
      <c r="M418" s="107"/>
      <c r="N418" s="116"/>
    </row>
    <row r="419">
      <c r="C419" s="107"/>
      <c r="D419" s="108"/>
      <c r="E419" s="114"/>
      <c r="F419" s="107"/>
      <c r="H419" s="111"/>
      <c r="I419" s="111"/>
      <c r="J419" s="115"/>
      <c r="K419" s="107"/>
      <c r="L419" s="49"/>
      <c r="M419" s="107"/>
      <c r="N419" s="116"/>
    </row>
    <row r="420">
      <c r="C420" s="107"/>
      <c r="D420" s="108"/>
      <c r="E420" s="114"/>
      <c r="F420" s="107"/>
      <c r="H420" s="111"/>
      <c r="I420" s="111"/>
      <c r="J420" s="115"/>
      <c r="K420" s="107"/>
      <c r="L420" s="49"/>
      <c r="M420" s="107"/>
      <c r="N420" s="116"/>
    </row>
    <row r="421">
      <c r="C421" s="107"/>
      <c r="D421" s="108"/>
      <c r="E421" s="114"/>
      <c r="F421" s="107"/>
      <c r="H421" s="111"/>
      <c r="I421" s="111"/>
      <c r="J421" s="115"/>
      <c r="K421" s="107"/>
      <c r="L421" s="49"/>
      <c r="M421" s="107"/>
      <c r="N421" s="116"/>
    </row>
    <row r="422">
      <c r="C422" s="107"/>
      <c r="D422" s="108"/>
      <c r="E422" s="114"/>
      <c r="F422" s="107"/>
      <c r="H422" s="111"/>
      <c r="I422" s="111"/>
      <c r="J422" s="115"/>
      <c r="K422" s="107"/>
      <c r="L422" s="49"/>
      <c r="M422" s="107"/>
      <c r="N422" s="116"/>
    </row>
    <row r="423">
      <c r="C423" s="107"/>
      <c r="D423" s="108"/>
      <c r="E423" s="114"/>
      <c r="F423" s="107"/>
      <c r="H423" s="111"/>
      <c r="I423" s="111"/>
      <c r="J423" s="115"/>
      <c r="K423" s="107"/>
      <c r="L423" s="49"/>
      <c r="M423" s="107"/>
      <c r="N423" s="116"/>
    </row>
    <row r="424">
      <c r="C424" s="107"/>
      <c r="D424" s="108"/>
      <c r="E424" s="114"/>
      <c r="F424" s="107"/>
      <c r="H424" s="111"/>
      <c r="I424" s="111"/>
      <c r="J424" s="115"/>
      <c r="K424" s="107"/>
      <c r="L424" s="49"/>
      <c r="M424" s="107"/>
      <c r="N424" s="116"/>
    </row>
    <row r="425">
      <c r="C425" s="107"/>
      <c r="D425" s="108"/>
      <c r="E425" s="114"/>
      <c r="F425" s="107"/>
      <c r="H425" s="111"/>
      <c r="I425" s="111"/>
      <c r="J425" s="115"/>
      <c r="K425" s="107"/>
      <c r="L425" s="49"/>
      <c r="M425" s="107"/>
      <c r="N425" s="116"/>
    </row>
    <row r="426">
      <c r="C426" s="107"/>
      <c r="D426" s="108"/>
      <c r="E426" s="114"/>
      <c r="F426" s="107"/>
      <c r="H426" s="111"/>
      <c r="I426" s="111"/>
      <c r="J426" s="115"/>
      <c r="K426" s="107"/>
      <c r="L426" s="49"/>
      <c r="M426" s="107"/>
      <c r="N426" s="116"/>
    </row>
    <row r="427">
      <c r="C427" s="107"/>
      <c r="D427" s="108"/>
      <c r="E427" s="114"/>
      <c r="F427" s="107"/>
      <c r="H427" s="111"/>
      <c r="I427" s="111"/>
      <c r="J427" s="115"/>
      <c r="K427" s="107"/>
      <c r="L427" s="49"/>
      <c r="M427" s="107"/>
      <c r="N427" s="116"/>
    </row>
    <row r="428">
      <c r="C428" s="107"/>
      <c r="D428" s="108"/>
      <c r="E428" s="114"/>
      <c r="F428" s="107"/>
      <c r="H428" s="111"/>
      <c r="I428" s="111"/>
      <c r="J428" s="115"/>
      <c r="K428" s="107"/>
      <c r="L428" s="49"/>
      <c r="M428" s="107"/>
      <c r="N428" s="116"/>
    </row>
    <row r="429">
      <c r="C429" s="107"/>
      <c r="D429" s="108"/>
      <c r="E429" s="114"/>
      <c r="F429" s="107"/>
      <c r="H429" s="111"/>
      <c r="I429" s="111"/>
      <c r="J429" s="115"/>
      <c r="K429" s="107"/>
      <c r="L429" s="49"/>
      <c r="M429" s="107"/>
      <c r="N429" s="116"/>
    </row>
    <row r="430">
      <c r="C430" s="107"/>
      <c r="D430" s="108"/>
      <c r="E430" s="114"/>
      <c r="F430" s="107"/>
      <c r="H430" s="111"/>
      <c r="I430" s="111"/>
      <c r="J430" s="115"/>
      <c r="K430" s="107"/>
      <c r="L430" s="49"/>
      <c r="M430" s="107"/>
      <c r="N430" s="116"/>
    </row>
    <row r="431">
      <c r="C431" s="107"/>
      <c r="D431" s="108"/>
      <c r="E431" s="114"/>
      <c r="F431" s="107"/>
      <c r="H431" s="111"/>
      <c r="I431" s="111"/>
      <c r="J431" s="115"/>
      <c r="K431" s="107"/>
      <c r="L431" s="49"/>
      <c r="M431" s="107"/>
      <c r="N431" s="116"/>
    </row>
    <row r="432">
      <c r="C432" s="107"/>
      <c r="D432" s="108"/>
      <c r="E432" s="114"/>
      <c r="F432" s="107"/>
      <c r="H432" s="111"/>
      <c r="I432" s="111"/>
      <c r="J432" s="115"/>
      <c r="K432" s="107"/>
      <c r="L432" s="49"/>
      <c r="M432" s="107"/>
      <c r="N432" s="116"/>
    </row>
    <row r="433">
      <c r="C433" s="107"/>
      <c r="D433" s="108"/>
      <c r="E433" s="114"/>
      <c r="F433" s="107"/>
      <c r="H433" s="111"/>
      <c r="I433" s="111"/>
      <c r="J433" s="115"/>
      <c r="K433" s="107"/>
      <c r="L433" s="49"/>
      <c r="M433" s="107"/>
      <c r="N433" s="116"/>
    </row>
    <row r="434">
      <c r="C434" s="107"/>
      <c r="D434" s="108"/>
      <c r="E434" s="114"/>
      <c r="F434" s="107"/>
      <c r="H434" s="111"/>
      <c r="I434" s="111"/>
      <c r="J434" s="115"/>
      <c r="K434" s="107"/>
      <c r="L434" s="49"/>
      <c r="M434" s="107"/>
      <c r="N434" s="116"/>
    </row>
    <row r="435">
      <c r="C435" s="107"/>
      <c r="D435" s="108"/>
      <c r="E435" s="114"/>
      <c r="F435" s="107"/>
      <c r="H435" s="111"/>
      <c r="I435" s="111"/>
      <c r="J435" s="115"/>
      <c r="K435" s="107"/>
      <c r="L435" s="49"/>
      <c r="M435" s="107"/>
      <c r="N435" s="116"/>
    </row>
    <row r="436">
      <c r="C436" s="107"/>
      <c r="D436" s="108"/>
      <c r="E436" s="114"/>
      <c r="F436" s="107"/>
      <c r="H436" s="111"/>
      <c r="I436" s="111"/>
      <c r="J436" s="115"/>
      <c r="K436" s="107"/>
      <c r="L436" s="49"/>
      <c r="M436" s="107"/>
      <c r="N436" s="116"/>
    </row>
    <row r="437">
      <c r="C437" s="107"/>
      <c r="D437" s="108"/>
      <c r="E437" s="114"/>
      <c r="F437" s="107"/>
      <c r="H437" s="111"/>
      <c r="I437" s="111"/>
      <c r="J437" s="115"/>
      <c r="K437" s="107"/>
      <c r="L437" s="49"/>
      <c r="M437" s="107"/>
      <c r="N437" s="116"/>
    </row>
    <row r="438">
      <c r="C438" s="107"/>
      <c r="D438" s="108"/>
      <c r="E438" s="114"/>
      <c r="F438" s="107"/>
      <c r="H438" s="111"/>
      <c r="I438" s="111"/>
      <c r="J438" s="115"/>
      <c r="K438" s="107"/>
      <c r="L438" s="49"/>
      <c r="M438" s="107"/>
      <c r="N438" s="116"/>
    </row>
    <row r="439">
      <c r="C439" s="107"/>
      <c r="D439" s="108"/>
      <c r="E439" s="114"/>
      <c r="F439" s="107"/>
      <c r="H439" s="111"/>
      <c r="I439" s="111"/>
      <c r="J439" s="115"/>
      <c r="K439" s="107"/>
      <c r="L439" s="49"/>
      <c r="M439" s="107"/>
      <c r="N439" s="116"/>
    </row>
    <row r="440">
      <c r="C440" s="107"/>
      <c r="D440" s="108"/>
      <c r="E440" s="114"/>
      <c r="F440" s="107"/>
      <c r="H440" s="111"/>
      <c r="I440" s="111"/>
      <c r="J440" s="115"/>
      <c r="K440" s="107"/>
      <c r="L440" s="49"/>
      <c r="M440" s="107"/>
      <c r="N440" s="116"/>
    </row>
    <row r="441">
      <c r="C441" s="107"/>
      <c r="D441" s="108"/>
      <c r="E441" s="114"/>
      <c r="F441" s="107"/>
      <c r="H441" s="111"/>
      <c r="I441" s="111"/>
      <c r="J441" s="115"/>
      <c r="K441" s="107"/>
      <c r="L441" s="49"/>
      <c r="M441" s="107"/>
      <c r="N441" s="116"/>
    </row>
    <row r="442">
      <c r="C442" s="107"/>
      <c r="D442" s="108"/>
      <c r="E442" s="114"/>
      <c r="F442" s="107"/>
      <c r="H442" s="111"/>
      <c r="I442" s="111"/>
      <c r="J442" s="115"/>
      <c r="K442" s="107"/>
      <c r="L442" s="49"/>
      <c r="M442" s="107"/>
      <c r="N442" s="116"/>
    </row>
    <row r="443">
      <c r="C443" s="107"/>
      <c r="D443" s="108"/>
      <c r="E443" s="114"/>
      <c r="F443" s="107"/>
      <c r="H443" s="111"/>
      <c r="I443" s="111"/>
      <c r="J443" s="115"/>
      <c r="K443" s="107"/>
      <c r="L443" s="49"/>
      <c r="M443" s="107"/>
      <c r="N443" s="116"/>
    </row>
    <row r="444">
      <c r="C444" s="107"/>
      <c r="D444" s="108"/>
      <c r="E444" s="114"/>
      <c r="F444" s="107"/>
      <c r="H444" s="111"/>
      <c r="I444" s="111"/>
      <c r="J444" s="115"/>
      <c r="K444" s="107"/>
      <c r="L444" s="49"/>
      <c r="M444" s="107"/>
      <c r="N444" s="116"/>
    </row>
    <row r="445">
      <c r="C445" s="107"/>
      <c r="D445" s="108"/>
      <c r="E445" s="114"/>
      <c r="F445" s="107"/>
      <c r="H445" s="111"/>
      <c r="I445" s="111"/>
      <c r="J445" s="115"/>
      <c r="K445" s="107"/>
      <c r="L445" s="49"/>
      <c r="M445" s="107"/>
      <c r="N445" s="116"/>
    </row>
    <row r="446">
      <c r="C446" s="107"/>
      <c r="D446" s="108"/>
      <c r="E446" s="114"/>
      <c r="F446" s="107"/>
      <c r="H446" s="111"/>
      <c r="I446" s="111"/>
      <c r="J446" s="115"/>
      <c r="K446" s="107"/>
      <c r="L446" s="49"/>
      <c r="M446" s="107"/>
      <c r="N446" s="116"/>
    </row>
    <row r="447">
      <c r="C447" s="107"/>
      <c r="D447" s="108"/>
      <c r="E447" s="114"/>
      <c r="F447" s="107"/>
      <c r="H447" s="111"/>
      <c r="I447" s="111"/>
      <c r="J447" s="115"/>
      <c r="K447" s="107"/>
      <c r="L447" s="49"/>
      <c r="M447" s="107"/>
      <c r="N447" s="116"/>
    </row>
    <row r="448">
      <c r="C448" s="107"/>
      <c r="D448" s="108"/>
      <c r="E448" s="114"/>
      <c r="F448" s="107"/>
      <c r="H448" s="111"/>
      <c r="I448" s="111"/>
      <c r="J448" s="115"/>
      <c r="K448" s="107"/>
      <c r="L448" s="49"/>
      <c r="M448" s="107"/>
      <c r="N448" s="116"/>
    </row>
    <row r="449">
      <c r="C449" s="107"/>
      <c r="D449" s="108"/>
      <c r="E449" s="114"/>
      <c r="F449" s="107"/>
      <c r="H449" s="111"/>
      <c r="I449" s="111"/>
      <c r="J449" s="115"/>
      <c r="K449" s="107"/>
      <c r="L449" s="49"/>
      <c r="M449" s="107"/>
      <c r="N449" s="116"/>
    </row>
    <row r="450">
      <c r="C450" s="107"/>
      <c r="D450" s="108"/>
      <c r="E450" s="114"/>
      <c r="F450" s="107"/>
      <c r="H450" s="111"/>
      <c r="I450" s="111"/>
      <c r="J450" s="115"/>
      <c r="K450" s="107"/>
      <c r="L450" s="49"/>
      <c r="M450" s="107"/>
      <c r="N450" s="116"/>
    </row>
    <row r="451">
      <c r="C451" s="107"/>
      <c r="D451" s="108"/>
      <c r="E451" s="114"/>
      <c r="F451" s="107"/>
      <c r="H451" s="111"/>
      <c r="I451" s="111"/>
      <c r="J451" s="115"/>
      <c r="K451" s="107"/>
      <c r="L451" s="49"/>
      <c r="M451" s="107"/>
      <c r="N451" s="116"/>
    </row>
    <row r="452">
      <c r="C452" s="107"/>
      <c r="D452" s="108"/>
      <c r="E452" s="114"/>
      <c r="F452" s="107"/>
      <c r="H452" s="111"/>
      <c r="I452" s="111"/>
      <c r="J452" s="115"/>
      <c r="K452" s="107"/>
      <c r="L452" s="49"/>
      <c r="M452" s="107"/>
      <c r="N452" s="116"/>
    </row>
    <row r="453">
      <c r="C453" s="107"/>
      <c r="D453" s="108"/>
      <c r="E453" s="114"/>
      <c r="F453" s="107"/>
      <c r="H453" s="111"/>
      <c r="I453" s="111"/>
      <c r="J453" s="115"/>
      <c r="K453" s="107"/>
      <c r="L453" s="49"/>
      <c r="M453" s="107"/>
      <c r="N453" s="116"/>
    </row>
    <row r="454">
      <c r="C454" s="107"/>
      <c r="D454" s="108"/>
      <c r="E454" s="114"/>
      <c r="F454" s="107"/>
      <c r="H454" s="111"/>
      <c r="I454" s="111"/>
      <c r="J454" s="115"/>
      <c r="K454" s="107"/>
      <c r="L454" s="49"/>
      <c r="M454" s="107"/>
      <c r="N454" s="116"/>
    </row>
    <row r="455">
      <c r="C455" s="107"/>
      <c r="D455" s="108"/>
      <c r="E455" s="114"/>
      <c r="F455" s="107"/>
      <c r="H455" s="111"/>
      <c r="I455" s="111"/>
      <c r="J455" s="115"/>
      <c r="K455" s="107"/>
      <c r="L455" s="49"/>
      <c r="M455" s="107"/>
      <c r="N455" s="116"/>
    </row>
    <row r="456">
      <c r="C456" s="107"/>
      <c r="D456" s="108"/>
      <c r="E456" s="114"/>
      <c r="F456" s="107"/>
      <c r="H456" s="111"/>
      <c r="I456" s="111"/>
      <c r="J456" s="115"/>
      <c r="K456" s="107"/>
      <c r="L456" s="49"/>
      <c r="M456" s="107"/>
      <c r="N456" s="116"/>
    </row>
    <row r="457">
      <c r="C457" s="107"/>
      <c r="D457" s="108"/>
      <c r="E457" s="114"/>
      <c r="F457" s="107"/>
      <c r="H457" s="111"/>
      <c r="I457" s="111"/>
      <c r="J457" s="115"/>
      <c r="K457" s="107"/>
      <c r="L457" s="49"/>
      <c r="M457" s="107"/>
      <c r="N457" s="116"/>
    </row>
    <row r="458">
      <c r="C458" s="107"/>
      <c r="D458" s="108"/>
      <c r="E458" s="114"/>
      <c r="F458" s="107"/>
      <c r="H458" s="111"/>
      <c r="I458" s="111"/>
      <c r="J458" s="115"/>
      <c r="K458" s="107"/>
      <c r="L458" s="49"/>
      <c r="M458" s="107"/>
      <c r="N458" s="116"/>
    </row>
    <row r="459">
      <c r="C459" s="107"/>
      <c r="D459" s="108"/>
      <c r="E459" s="114"/>
      <c r="F459" s="107"/>
      <c r="H459" s="111"/>
      <c r="I459" s="111"/>
      <c r="J459" s="115"/>
      <c r="K459" s="107"/>
      <c r="L459" s="49"/>
      <c r="M459" s="107"/>
      <c r="N459" s="116"/>
    </row>
    <row r="460">
      <c r="C460" s="107"/>
      <c r="D460" s="108"/>
      <c r="E460" s="114"/>
      <c r="F460" s="107"/>
      <c r="H460" s="111"/>
      <c r="I460" s="111"/>
      <c r="J460" s="115"/>
      <c r="K460" s="107"/>
      <c r="L460" s="49"/>
      <c r="M460" s="107"/>
      <c r="N460" s="116"/>
    </row>
    <row r="461">
      <c r="C461" s="107"/>
      <c r="D461" s="108"/>
      <c r="E461" s="114"/>
      <c r="F461" s="107"/>
      <c r="H461" s="111"/>
      <c r="I461" s="111"/>
      <c r="J461" s="115"/>
      <c r="K461" s="107"/>
      <c r="L461" s="49"/>
      <c r="M461" s="107"/>
      <c r="N461" s="116"/>
    </row>
    <row r="462">
      <c r="C462" s="107"/>
      <c r="D462" s="108"/>
      <c r="E462" s="114"/>
      <c r="F462" s="107"/>
      <c r="H462" s="111"/>
      <c r="I462" s="111"/>
      <c r="J462" s="115"/>
      <c r="K462" s="107"/>
      <c r="L462" s="49"/>
      <c r="M462" s="107"/>
      <c r="N462" s="116"/>
    </row>
    <row r="463">
      <c r="C463" s="107"/>
      <c r="D463" s="108"/>
      <c r="E463" s="114"/>
      <c r="F463" s="107"/>
      <c r="H463" s="111"/>
      <c r="I463" s="111"/>
      <c r="J463" s="115"/>
      <c r="K463" s="107"/>
      <c r="L463" s="49"/>
      <c r="M463" s="107"/>
      <c r="N463" s="116"/>
    </row>
    <row r="464">
      <c r="C464" s="107"/>
      <c r="D464" s="108"/>
      <c r="E464" s="114"/>
      <c r="F464" s="107"/>
      <c r="H464" s="111"/>
      <c r="I464" s="111"/>
      <c r="J464" s="115"/>
      <c r="K464" s="107"/>
      <c r="L464" s="49"/>
      <c r="M464" s="107"/>
      <c r="N464" s="116"/>
    </row>
    <row r="465">
      <c r="C465" s="107"/>
      <c r="D465" s="108"/>
      <c r="E465" s="114"/>
      <c r="F465" s="107"/>
      <c r="H465" s="111"/>
      <c r="I465" s="111"/>
      <c r="J465" s="115"/>
      <c r="K465" s="107"/>
      <c r="L465" s="49"/>
      <c r="M465" s="107"/>
      <c r="N465" s="116"/>
    </row>
    <row r="466">
      <c r="C466" s="107"/>
      <c r="D466" s="108"/>
      <c r="E466" s="114"/>
      <c r="F466" s="107"/>
      <c r="H466" s="111"/>
      <c r="I466" s="111"/>
      <c r="J466" s="115"/>
      <c r="K466" s="107"/>
      <c r="L466" s="49"/>
      <c r="M466" s="107"/>
      <c r="N466" s="116"/>
    </row>
    <row r="467">
      <c r="C467" s="107"/>
      <c r="D467" s="108"/>
      <c r="E467" s="114"/>
      <c r="F467" s="107"/>
      <c r="H467" s="111"/>
      <c r="I467" s="111"/>
      <c r="J467" s="115"/>
      <c r="K467" s="107"/>
      <c r="L467" s="49"/>
      <c r="M467" s="107"/>
      <c r="N467" s="116"/>
    </row>
    <row r="468">
      <c r="C468" s="107"/>
      <c r="D468" s="108"/>
      <c r="E468" s="114"/>
      <c r="F468" s="107"/>
      <c r="H468" s="111"/>
      <c r="I468" s="111"/>
      <c r="J468" s="115"/>
      <c r="K468" s="107"/>
      <c r="L468" s="49"/>
      <c r="M468" s="107"/>
      <c r="N468" s="116"/>
    </row>
    <row r="469">
      <c r="C469" s="107"/>
      <c r="D469" s="108"/>
      <c r="E469" s="114"/>
      <c r="F469" s="107"/>
      <c r="H469" s="111"/>
      <c r="I469" s="111"/>
      <c r="J469" s="115"/>
      <c r="K469" s="107"/>
      <c r="L469" s="49"/>
      <c r="M469" s="107"/>
      <c r="N469" s="116"/>
    </row>
    <row r="470">
      <c r="C470" s="107"/>
      <c r="D470" s="108"/>
      <c r="E470" s="114"/>
      <c r="F470" s="107"/>
      <c r="H470" s="111"/>
      <c r="I470" s="111"/>
      <c r="J470" s="115"/>
      <c r="K470" s="107"/>
      <c r="L470" s="49"/>
      <c r="M470" s="107"/>
      <c r="N470" s="116"/>
    </row>
    <row r="471">
      <c r="C471" s="107"/>
      <c r="D471" s="108"/>
      <c r="E471" s="114"/>
      <c r="F471" s="107"/>
      <c r="H471" s="111"/>
      <c r="I471" s="111"/>
      <c r="J471" s="115"/>
      <c r="K471" s="107"/>
      <c r="L471" s="49"/>
      <c r="M471" s="107"/>
      <c r="N471" s="116"/>
    </row>
    <row r="472">
      <c r="C472" s="107"/>
      <c r="D472" s="108"/>
      <c r="E472" s="114"/>
      <c r="F472" s="107"/>
      <c r="H472" s="111"/>
      <c r="I472" s="111"/>
      <c r="J472" s="115"/>
      <c r="K472" s="107"/>
      <c r="L472" s="49"/>
      <c r="M472" s="107"/>
      <c r="N472" s="116"/>
    </row>
    <row r="473">
      <c r="C473" s="107"/>
      <c r="D473" s="108"/>
      <c r="E473" s="114"/>
      <c r="F473" s="107"/>
      <c r="H473" s="111"/>
      <c r="I473" s="111"/>
      <c r="J473" s="115"/>
      <c r="K473" s="107"/>
      <c r="L473" s="49"/>
      <c r="M473" s="107"/>
      <c r="N473" s="116"/>
    </row>
    <row r="474">
      <c r="C474" s="107"/>
      <c r="D474" s="108"/>
      <c r="E474" s="114"/>
      <c r="F474" s="107"/>
      <c r="H474" s="111"/>
      <c r="I474" s="111"/>
      <c r="J474" s="115"/>
      <c r="K474" s="107"/>
      <c r="L474" s="49"/>
      <c r="M474" s="107"/>
      <c r="N474" s="116"/>
    </row>
    <row r="475">
      <c r="C475" s="107"/>
      <c r="D475" s="108"/>
      <c r="E475" s="114"/>
      <c r="F475" s="107"/>
      <c r="H475" s="111"/>
      <c r="I475" s="111"/>
      <c r="J475" s="115"/>
      <c r="K475" s="107"/>
      <c r="L475" s="49"/>
      <c r="M475" s="107"/>
      <c r="N475" s="116"/>
    </row>
    <row r="476">
      <c r="C476" s="107"/>
      <c r="D476" s="108"/>
      <c r="E476" s="114"/>
      <c r="F476" s="107"/>
      <c r="H476" s="111"/>
      <c r="I476" s="111"/>
      <c r="J476" s="115"/>
      <c r="K476" s="107"/>
      <c r="L476" s="49"/>
      <c r="M476" s="107"/>
      <c r="N476" s="116"/>
    </row>
    <row r="477">
      <c r="C477" s="107"/>
      <c r="D477" s="108"/>
      <c r="E477" s="114"/>
      <c r="F477" s="107"/>
      <c r="H477" s="111"/>
      <c r="I477" s="111"/>
      <c r="J477" s="115"/>
      <c r="K477" s="107"/>
      <c r="L477" s="49"/>
      <c r="M477" s="107"/>
      <c r="N477" s="116"/>
    </row>
    <row r="478">
      <c r="C478" s="107"/>
      <c r="D478" s="108"/>
      <c r="E478" s="114"/>
      <c r="F478" s="107"/>
      <c r="H478" s="111"/>
      <c r="I478" s="111"/>
      <c r="J478" s="115"/>
      <c r="K478" s="107"/>
      <c r="L478" s="49"/>
      <c r="M478" s="107"/>
      <c r="N478" s="116"/>
    </row>
    <row r="479">
      <c r="C479" s="107"/>
      <c r="D479" s="108"/>
      <c r="E479" s="114"/>
      <c r="F479" s="107"/>
      <c r="H479" s="111"/>
      <c r="I479" s="111"/>
      <c r="J479" s="115"/>
      <c r="K479" s="107"/>
      <c r="L479" s="49"/>
      <c r="M479" s="107"/>
      <c r="N479" s="116"/>
    </row>
    <row r="480">
      <c r="C480" s="107"/>
      <c r="D480" s="108"/>
      <c r="E480" s="114"/>
      <c r="F480" s="107"/>
      <c r="H480" s="111"/>
      <c r="I480" s="111"/>
      <c r="J480" s="115"/>
      <c r="K480" s="107"/>
      <c r="L480" s="49"/>
      <c r="M480" s="107"/>
      <c r="N480" s="116"/>
    </row>
    <row r="481">
      <c r="C481" s="107"/>
      <c r="D481" s="108"/>
      <c r="E481" s="114"/>
      <c r="F481" s="107"/>
      <c r="H481" s="111"/>
      <c r="I481" s="111"/>
      <c r="J481" s="115"/>
      <c r="K481" s="107"/>
      <c r="L481" s="49"/>
      <c r="M481" s="107"/>
      <c r="N481" s="116"/>
    </row>
    <row r="482">
      <c r="C482" s="107"/>
      <c r="D482" s="108"/>
      <c r="E482" s="114"/>
      <c r="F482" s="107"/>
      <c r="H482" s="111"/>
      <c r="I482" s="111"/>
      <c r="J482" s="115"/>
      <c r="K482" s="107"/>
      <c r="L482" s="49"/>
      <c r="M482" s="107"/>
      <c r="N482" s="116"/>
    </row>
    <row r="483">
      <c r="C483" s="107"/>
      <c r="D483" s="108"/>
      <c r="E483" s="114"/>
      <c r="F483" s="107"/>
      <c r="H483" s="111"/>
      <c r="I483" s="111"/>
      <c r="J483" s="115"/>
      <c r="K483" s="107"/>
      <c r="L483" s="49"/>
      <c r="M483" s="107"/>
      <c r="N483" s="116"/>
    </row>
    <row r="484">
      <c r="C484" s="107"/>
      <c r="D484" s="108"/>
      <c r="E484" s="114"/>
      <c r="F484" s="107"/>
      <c r="H484" s="111"/>
      <c r="I484" s="111"/>
      <c r="J484" s="115"/>
      <c r="K484" s="107"/>
      <c r="L484" s="49"/>
      <c r="M484" s="107"/>
      <c r="N484" s="116"/>
    </row>
    <row r="485">
      <c r="C485" s="107"/>
      <c r="D485" s="108"/>
      <c r="E485" s="114"/>
      <c r="F485" s="107"/>
      <c r="H485" s="111"/>
      <c r="I485" s="111"/>
      <c r="J485" s="115"/>
      <c r="K485" s="107"/>
      <c r="L485" s="49"/>
      <c r="M485" s="107"/>
      <c r="N485" s="116"/>
    </row>
    <row r="486">
      <c r="C486" s="107"/>
      <c r="D486" s="108"/>
      <c r="E486" s="114"/>
      <c r="F486" s="107"/>
      <c r="H486" s="111"/>
      <c r="I486" s="111"/>
      <c r="J486" s="115"/>
      <c r="K486" s="107"/>
      <c r="L486" s="49"/>
      <c r="M486" s="107"/>
      <c r="N486" s="116"/>
    </row>
    <row r="487">
      <c r="C487" s="107"/>
      <c r="D487" s="108"/>
      <c r="E487" s="114"/>
      <c r="F487" s="107"/>
      <c r="H487" s="111"/>
      <c r="I487" s="111"/>
      <c r="J487" s="115"/>
      <c r="K487" s="107"/>
      <c r="L487" s="49"/>
      <c r="M487" s="107"/>
      <c r="N487" s="116"/>
    </row>
    <row r="488">
      <c r="C488" s="107"/>
      <c r="D488" s="108"/>
      <c r="E488" s="114"/>
      <c r="F488" s="107"/>
      <c r="H488" s="111"/>
      <c r="I488" s="111"/>
      <c r="J488" s="115"/>
      <c r="K488" s="107"/>
      <c r="L488" s="49"/>
      <c r="M488" s="107"/>
      <c r="N488" s="116"/>
    </row>
    <row r="489">
      <c r="C489" s="107"/>
      <c r="D489" s="108"/>
      <c r="E489" s="114"/>
      <c r="F489" s="107"/>
      <c r="H489" s="111"/>
      <c r="I489" s="111"/>
      <c r="J489" s="115"/>
      <c r="K489" s="107"/>
      <c r="L489" s="49"/>
      <c r="M489" s="107"/>
      <c r="N489" s="116"/>
    </row>
    <row r="490">
      <c r="C490" s="107"/>
      <c r="D490" s="108"/>
      <c r="E490" s="114"/>
      <c r="F490" s="107"/>
      <c r="H490" s="111"/>
      <c r="I490" s="111"/>
      <c r="J490" s="115"/>
      <c r="K490" s="107"/>
      <c r="L490" s="49"/>
      <c r="M490" s="107"/>
      <c r="N490" s="116"/>
    </row>
    <row r="491">
      <c r="C491" s="107"/>
      <c r="D491" s="108"/>
      <c r="E491" s="114"/>
      <c r="F491" s="107"/>
      <c r="H491" s="111"/>
      <c r="I491" s="111"/>
      <c r="J491" s="115"/>
      <c r="K491" s="107"/>
      <c r="L491" s="49"/>
      <c r="M491" s="107"/>
      <c r="N491" s="116"/>
    </row>
    <row r="492">
      <c r="C492" s="107"/>
      <c r="D492" s="108"/>
      <c r="E492" s="114"/>
      <c r="F492" s="107"/>
      <c r="H492" s="111"/>
      <c r="I492" s="111"/>
      <c r="J492" s="115"/>
      <c r="K492" s="107"/>
      <c r="L492" s="49"/>
      <c r="M492" s="107"/>
      <c r="N492" s="116"/>
    </row>
    <row r="493">
      <c r="C493" s="107"/>
      <c r="D493" s="108"/>
      <c r="E493" s="114"/>
      <c r="F493" s="107"/>
      <c r="H493" s="111"/>
      <c r="I493" s="111"/>
      <c r="J493" s="115"/>
      <c r="K493" s="107"/>
      <c r="L493" s="49"/>
      <c r="M493" s="107"/>
      <c r="N493" s="116"/>
    </row>
    <row r="494">
      <c r="C494" s="107"/>
      <c r="D494" s="108"/>
      <c r="E494" s="114"/>
      <c r="F494" s="107"/>
      <c r="H494" s="111"/>
      <c r="I494" s="111"/>
      <c r="J494" s="115"/>
      <c r="K494" s="107"/>
      <c r="L494" s="49"/>
      <c r="M494" s="107"/>
      <c r="N494" s="116"/>
    </row>
    <row r="495">
      <c r="C495" s="107"/>
      <c r="D495" s="108"/>
      <c r="E495" s="114"/>
      <c r="F495" s="107"/>
      <c r="H495" s="111"/>
      <c r="I495" s="111"/>
      <c r="J495" s="115"/>
      <c r="K495" s="107"/>
      <c r="L495" s="49"/>
      <c r="M495" s="107"/>
      <c r="N495" s="116"/>
    </row>
    <row r="496">
      <c r="C496" s="107"/>
      <c r="D496" s="108"/>
      <c r="E496" s="114"/>
      <c r="F496" s="107"/>
      <c r="H496" s="111"/>
      <c r="I496" s="111"/>
      <c r="J496" s="115"/>
      <c r="K496" s="107"/>
      <c r="L496" s="49"/>
      <c r="M496" s="107"/>
      <c r="N496" s="116"/>
    </row>
    <row r="497">
      <c r="C497" s="107"/>
      <c r="D497" s="108"/>
      <c r="E497" s="114"/>
      <c r="F497" s="107"/>
      <c r="H497" s="111"/>
      <c r="I497" s="111"/>
      <c r="J497" s="115"/>
      <c r="K497" s="107"/>
      <c r="L497" s="49"/>
      <c r="M497" s="107"/>
      <c r="N497" s="116"/>
    </row>
    <row r="498">
      <c r="C498" s="107"/>
      <c r="D498" s="108"/>
      <c r="E498" s="114"/>
      <c r="F498" s="107"/>
      <c r="H498" s="111"/>
      <c r="I498" s="111"/>
      <c r="J498" s="115"/>
      <c r="K498" s="107"/>
      <c r="L498" s="49"/>
      <c r="M498" s="107"/>
      <c r="N498" s="116"/>
    </row>
    <row r="499">
      <c r="C499" s="107"/>
      <c r="D499" s="108"/>
      <c r="E499" s="114"/>
      <c r="F499" s="107"/>
      <c r="H499" s="111"/>
      <c r="I499" s="111"/>
      <c r="J499" s="115"/>
      <c r="K499" s="107"/>
      <c r="L499" s="49"/>
      <c r="M499" s="107"/>
      <c r="N499" s="116"/>
    </row>
    <row r="500">
      <c r="C500" s="107"/>
      <c r="D500" s="108"/>
      <c r="E500" s="114"/>
      <c r="F500" s="107"/>
      <c r="H500" s="111"/>
      <c r="I500" s="111"/>
      <c r="J500" s="115"/>
      <c r="K500" s="107"/>
      <c r="L500" s="49"/>
      <c r="M500" s="107"/>
      <c r="N500" s="116"/>
    </row>
    <row r="501">
      <c r="C501" s="107"/>
      <c r="D501" s="108"/>
      <c r="E501" s="114"/>
      <c r="F501" s="107"/>
      <c r="H501" s="111"/>
      <c r="I501" s="111"/>
      <c r="J501" s="115"/>
      <c r="K501" s="107"/>
      <c r="L501" s="49"/>
      <c r="M501" s="107"/>
      <c r="N501" s="116"/>
    </row>
    <row r="502">
      <c r="C502" s="107"/>
      <c r="D502" s="108"/>
      <c r="E502" s="114"/>
      <c r="F502" s="107"/>
      <c r="H502" s="111"/>
      <c r="I502" s="111"/>
      <c r="J502" s="115"/>
      <c r="K502" s="107"/>
      <c r="L502" s="49"/>
      <c r="M502" s="107"/>
      <c r="N502" s="116"/>
    </row>
    <row r="503">
      <c r="C503" s="107"/>
      <c r="D503" s="108"/>
      <c r="E503" s="114"/>
      <c r="F503" s="107"/>
      <c r="H503" s="111"/>
      <c r="I503" s="111"/>
      <c r="J503" s="115"/>
      <c r="K503" s="107"/>
      <c r="L503" s="49"/>
      <c r="M503" s="107"/>
      <c r="N503" s="116"/>
    </row>
    <row r="504">
      <c r="C504" s="107"/>
      <c r="D504" s="108"/>
      <c r="E504" s="114"/>
      <c r="F504" s="107"/>
      <c r="H504" s="111"/>
      <c r="I504" s="111"/>
      <c r="J504" s="115"/>
      <c r="K504" s="107"/>
      <c r="L504" s="49"/>
      <c r="M504" s="107"/>
      <c r="N504" s="116"/>
    </row>
    <row r="505">
      <c r="C505" s="107"/>
      <c r="D505" s="108"/>
      <c r="E505" s="114"/>
      <c r="F505" s="107"/>
      <c r="H505" s="111"/>
      <c r="I505" s="111"/>
      <c r="J505" s="115"/>
      <c r="K505" s="107"/>
      <c r="L505" s="49"/>
      <c r="M505" s="107"/>
      <c r="N505" s="116"/>
    </row>
    <row r="506">
      <c r="C506" s="107"/>
      <c r="D506" s="108"/>
      <c r="E506" s="114"/>
      <c r="F506" s="107"/>
      <c r="H506" s="111"/>
      <c r="I506" s="111"/>
      <c r="J506" s="115"/>
      <c r="K506" s="107"/>
      <c r="L506" s="49"/>
      <c r="M506" s="107"/>
      <c r="N506" s="116"/>
    </row>
    <row r="507">
      <c r="C507" s="107"/>
      <c r="D507" s="108"/>
      <c r="E507" s="114"/>
      <c r="F507" s="107"/>
      <c r="H507" s="111"/>
      <c r="I507" s="111"/>
      <c r="J507" s="115"/>
      <c r="K507" s="107"/>
      <c r="L507" s="49"/>
      <c r="M507" s="107"/>
      <c r="N507" s="116"/>
    </row>
    <row r="508">
      <c r="C508" s="107"/>
      <c r="D508" s="108"/>
      <c r="E508" s="114"/>
      <c r="F508" s="107"/>
      <c r="H508" s="111"/>
      <c r="I508" s="111"/>
      <c r="J508" s="115"/>
      <c r="K508" s="107"/>
      <c r="L508" s="49"/>
      <c r="M508" s="107"/>
      <c r="N508" s="116"/>
    </row>
    <row r="509">
      <c r="C509" s="107"/>
      <c r="D509" s="108"/>
      <c r="E509" s="114"/>
      <c r="F509" s="107"/>
      <c r="H509" s="111"/>
      <c r="I509" s="111"/>
      <c r="J509" s="115"/>
      <c r="K509" s="107"/>
      <c r="L509" s="49"/>
      <c r="M509" s="107"/>
      <c r="N509" s="116"/>
    </row>
    <row r="510">
      <c r="C510" s="107"/>
      <c r="D510" s="108"/>
      <c r="E510" s="114"/>
      <c r="F510" s="107"/>
      <c r="H510" s="111"/>
      <c r="I510" s="111"/>
      <c r="J510" s="115"/>
      <c r="K510" s="107"/>
      <c r="L510" s="49"/>
      <c r="M510" s="107"/>
      <c r="N510" s="116"/>
    </row>
    <row r="511">
      <c r="C511" s="107"/>
      <c r="D511" s="108"/>
      <c r="E511" s="114"/>
      <c r="F511" s="107"/>
      <c r="H511" s="111"/>
      <c r="I511" s="111"/>
      <c r="J511" s="115"/>
      <c r="K511" s="107"/>
      <c r="L511" s="49"/>
      <c r="M511" s="107"/>
      <c r="N511" s="116"/>
    </row>
    <row r="512">
      <c r="C512" s="107"/>
      <c r="D512" s="108"/>
      <c r="E512" s="114"/>
      <c r="F512" s="107"/>
      <c r="H512" s="111"/>
      <c r="I512" s="111"/>
      <c r="J512" s="115"/>
      <c r="K512" s="107"/>
      <c r="L512" s="49"/>
      <c r="M512" s="107"/>
      <c r="N512" s="116"/>
    </row>
    <row r="513">
      <c r="C513" s="107"/>
      <c r="D513" s="108"/>
      <c r="E513" s="114"/>
      <c r="F513" s="107"/>
      <c r="H513" s="111"/>
      <c r="I513" s="111"/>
      <c r="J513" s="115"/>
      <c r="K513" s="107"/>
      <c r="L513" s="49"/>
      <c r="M513" s="107"/>
      <c r="N513" s="116"/>
    </row>
    <row r="514">
      <c r="C514" s="107"/>
      <c r="D514" s="108"/>
      <c r="E514" s="114"/>
      <c r="F514" s="107"/>
      <c r="H514" s="111"/>
      <c r="I514" s="111"/>
      <c r="J514" s="115"/>
      <c r="K514" s="107"/>
      <c r="L514" s="49"/>
      <c r="M514" s="107"/>
      <c r="N514" s="116"/>
    </row>
    <row r="515">
      <c r="C515" s="107"/>
      <c r="D515" s="108"/>
      <c r="E515" s="114"/>
      <c r="F515" s="107"/>
      <c r="H515" s="111"/>
      <c r="I515" s="111"/>
      <c r="J515" s="115"/>
      <c r="K515" s="107"/>
      <c r="L515" s="49"/>
      <c r="M515" s="107"/>
      <c r="N515" s="116"/>
    </row>
    <row r="516">
      <c r="C516" s="107"/>
      <c r="D516" s="108"/>
      <c r="E516" s="114"/>
      <c r="F516" s="107"/>
      <c r="H516" s="111"/>
      <c r="I516" s="111"/>
      <c r="J516" s="115"/>
      <c r="K516" s="107"/>
      <c r="L516" s="49"/>
      <c r="M516" s="107"/>
      <c r="N516" s="116"/>
    </row>
    <row r="517">
      <c r="C517" s="107"/>
      <c r="D517" s="108"/>
      <c r="E517" s="114"/>
      <c r="F517" s="107"/>
      <c r="H517" s="111"/>
      <c r="I517" s="111"/>
      <c r="J517" s="115"/>
      <c r="K517" s="107"/>
      <c r="L517" s="49"/>
      <c r="M517" s="107"/>
      <c r="N517" s="116"/>
    </row>
    <row r="518">
      <c r="C518" s="107"/>
      <c r="D518" s="108"/>
      <c r="E518" s="114"/>
      <c r="F518" s="107"/>
      <c r="H518" s="111"/>
      <c r="I518" s="111"/>
      <c r="J518" s="115"/>
      <c r="K518" s="107"/>
      <c r="L518" s="49"/>
      <c r="M518" s="107"/>
      <c r="N518" s="116"/>
    </row>
    <row r="519">
      <c r="C519" s="107"/>
      <c r="D519" s="108"/>
      <c r="E519" s="114"/>
      <c r="F519" s="107"/>
      <c r="H519" s="111"/>
      <c r="I519" s="111"/>
      <c r="J519" s="115"/>
      <c r="K519" s="107"/>
      <c r="L519" s="49"/>
      <c r="M519" s="107"/>
      <c r="N519" s="116"/>
    </row>
    <row r="520">
      <c r="C520" s="107"/>
      <c r="D520" s="108"/>
      <c r="E520" s="114"/>
      <c r="F520" s="107"/>
      <c r="H520" s="111"/>
      <c r="I520" s="111"/>
      <c r="J520" s="115"/>
      <c r="K520" s="107"/>
      <c r="L520" s="49"/>
      <c r="M520" s="107"/>
      <c r="N520" s="116"/>
    </row>
    <row r="521">
      <c r="C521" s="107"/>
      <c r="D521" s="108"/>
      <c r="E521" s="114"/>
      <c r="F521" s="107"/>
      <c r="H521" s="111"/>
      <c r="I521" s="111"/>
      <c r="J521" s="115"/>
      <c r="K521" s="107"/>
      <c r="L521" s="49"/>
      <c r="M521" s="107"/>
      <c r="N521" s="116"/>
    </row>
    <row r="522">
      <c r="C522" s="107"/>
      <c r="D522" s="108"/>
      <c r="E522" s="114"/>
      <c r="F522" s="107"/>
      <c r="H522" s="111"/>
      <c r="I522" s="111"/>
      <c r="J522" s="115"/>
      <c r="K522" s="107"/>
      <c r="L522" s="49"/>
      <c r="M522" s="107"/>
      <c r="N522" s="116"/>
    </row>
    <row r="523">
      <c r="C523" s="107"/>
      <c r="D523" s="108"/>
      <c r="E523" s="114"/>
      <c r="F523" s="107"/>
      <c r="H523" s="111"/>
      <c r="I523" s="111"/>
      <c r="J523" s="115"/>
      <c r="K523" s="107"/>
      <c r="L523" s="49"/>
      <c r="M523" s="107"/>
      <c r="N523" s="116"/>
    </row>
    <row r="524">
      <c r="C524" s="107"/>
      <c r="D524" s="108"/>
      <c r="E524" s="114"/>
      <c r="F524" s="107"/>
      <c r="H524" s="111"/>
      <c r="I524" s="111"/>
      <c r="J524" s="115"/>
      <c r="K524" s="107"/>
      <c r="L524" s="49"/>
      <c r="M524" s="107"/>
      <c r="N524" s="116"/>
    </row>
    <row r="525">
      <c r="C525" s="107"/>
      <c r="D525" s="108"/>
      <c r="E525" s="114"/>
      <c r="F525" s="107"/>
      <c r="H525" s="111"/>
      <c r="I525" s="111"/>
      <c r="J525" s="115"/>
      <c r="K525" s="107"/>
      <c r="L525" s="49"/>
      <c r="M525" s="107"/>
      <c r="N525" s="116"/>
    </row>
    <row r="526">
      <c r="C526" s="107"/>
      <c r="D526" s="108"/>
      <c r="E526" s="114"/>
      <c r="F526" s="107"/>
      <c r="H526" s="111"/>
      <c r="I526" s="111"/>
      <c r="J526" s="115"/>
      <c r="K526" s="107"/>
      <c r="L526" s="49"/>
      <c r="M526" s="107"/>
      <c r="N526" s="116"/>
    </row>
    <row r="527">
      <c r="C527" s="107"/>
      <c r="D527" s="108"/>
      <c r="E527" s="114"/>
      <c r="F527" s="107"/>
      <c r="H527" s="111"/>
      <c r="I527" s="111"/>
      <c r="J527" s="115"/>
      <c r="K527" s="107"/>
      <c r="L527" s="49"/>
      <c r="M527" s="107"/>
      <c r="N527" s="116"/>
    </row>
    <row r="528">
      <c r="C528" s="107"/>
      <c r="D528" s="108"/>
      <c r="E528" s="114"/>
      <c r="F528" s="107"/>
      <c r="H528" s="111"/>
      <c r="I528" s="111"/>
      <c r="J528" s="115"/>
      <c r="K528" s="107"/>
      <c r="L528" s="49"/>
      <c r="M528" s="107"/>
      <c r="N528" s="116"/>
    </row>
    <row r="529">
      <c r="C529" s="107"/>
      <c r="D529" s="108"/>
      <c r="E529" s="114"/>
      <c r="F529" s="107"/>
      <c r="H529" s="111"/>
      <c r="I529" s="111"/>
      <c r="J529" s="115"/>
      <c r="K529" s="107"/>
      <c r="L529" s="49"/>
      <c r="M529" s="107"/>
      <c r="N529" s="116"/>
    </row>
    <row r="530">
      <c r="C530" s="107"/>
      <c r="D530" s="108"/>
      <c r="E530" s="114"/>
      <c r="F530" s="107"/>
      <c r="H530" s="111"/>
      <c r="I530" s="111"/>
      <c r="J530" s="115"/>
      <c r="K530" s="107"/>
      <c r="L530" s="49"/>
      <c r="M530" s="107"/>
      <c r="N530" s="116"/>
    </row>
    <row r="531">
      <c r="C531" s="107"/>
      <c r="D531" s="108"/>
      <c r="E531" s="114"/>
      <c r="F531" s="107"/>
      <c r="H531" s="111"/>
      <c r="I531" s="111"/>
      <c r="J531" s="115"/>
      <c r="K531" s="107"/>
      <c r="L531" s="49"/>
      <c r="M531" s="107"/>
      <c r="N531" s="116"/>
    </row>
    <row r="532">
      <c r="C532" s="107"/>
      <c r="D532" s="108"/>
      <c r="E532" s="114"/>
      <c r="F532" s="107"/>
      <c r="H532" s="111"/>
      <c r="I532" s="111"/>
      <c r="J532" s="115"/>
      <c r="K532" s="107"/>
      <c r="L532" s="49"/>
      <c r="M532" s="107"/>
      <c r="N532" s="116"/>
    </row>
    <row r="533">
      <c r="C533" s="107"/>
      <c r="D533" s="108"/>
      <c r="E533" s="114"/>
      <c r="F533" s="107"/>
      <c r="H533" s="111"/>
      <c r="I533" s="111"/>
      <c r="J533" s="115"/>
      <c r="K533" s="107"/>
      <c r="L533" s="49"/>
      <c r="M533" s="107"/>
      <c r="N533" s="116"/>
    </row>
    <row r="534">
      <c r="C534" s="107"/>
      <c r="D534" s="108"/>
      <c r="E534" s="114"/>
      <c r="F534" s="107"/>
      <c r="H534" s="111"/>
      <c r="I534" s="111"/>
      <c r="J534" s="115"/>
      <c r="K534" s="107"/>
      <c r="L534" s="49"/>
      <c r="M534" s="107"/>
      <c r="N534" s="116"/>
    </row>
    <row r="535">
      <c r="C535" s="107"/>
      <c r="D535" s="108"/>
      <c r="E535" s="114"/>
      <c r="F535" s="107"/>
      <c r="H535" s="111"/>
      <c r="I535" s="111"/>
      <c r="J535" s="115"/>
      <c r="K535" s="107"/>
      <c r="L535" s="49"/>
      <c r="M535" s="107"/>
      <c r="N535" s="116"/>
    </row>
    <row r="536">
      <c r="C536" s="107"/>
      <c r="D536" s="108"/>
      <c r="E536" s="114"/>
      <c r="F536" s="107"/>
      <c r="H536" s="111"/>
      <c r="I536" s="111"/>
      <c r="J536" s="115"/>
      <c r="K536" s="107"/>
      <c r="L536" s="49"/>
      <c r="M536" s="107"/>
      <c r="N536" s="116"/>
    </row>
    <row r="537">
      <c r="C537" s="107"/>
      <c r="D537" s="108"/>
      <c r="E537" s="114"/>
      <c r="F537" s="107"/>
      <c r="H537" s="111"/>
      <c r="I537" s="111"/>
      <c r="J537" s="115"/>
      <c r="K537" s="107"/>
      <c r="L537" s="49"/>
      <c r="M537" s="107"/>
      <c r="N537" s="116"/>
    </row>
    <row r="538">
      <c r="C538" s="107"/>
      <c r="D538" s="108"/>
      <c r="E538" s="114"/>
      <c r="F538" s="107"/>
      <c r="H538" s="111"/>
      <c r="I538" s="111"/>
      <c r="J538" s="115"/>
      <c r="K538" s="107"/>
      <c r="L538" s="49"/>
      <c r="M538" s="107"/>
      <c r="N538" s="116"/>
    </row>
    <row r="539">
      <c r="C539" s="107"/>
      <c r="D539" s="108"/>
      <c r="E539" s="114"/>
      <c r="F539" s="107"/>
      <c r="H539" s="111"/>
      <c r="I539" s="111"/>
      <c r="J539" s="115"/>
      <c r="K539" s="107"/>
      <c r="L539" s="49"/>
      <c r="M539" s="107"/>
      <c r="N539" s="116"/>
    </row>
    <row r="540">
      <c r="C540" s="107"/>
      <c r="D540" s="108"/>
      <c r="E540" s="114"/>
      <c r="F540" s="107"/>
      <c r="H540" s="111"/>
      <c r="I540" s="111"/>
      <c r="J540" s="115"/>
      <c r="K540" s="107"/>
      <c r="L540" s="49"/>
      <c r="M540" s="107"/>
      <c r="N540" s="116"/>
    </row>
    <row r="541">
      <c r="C541" s="107"/>
      <c r="D541" s="108"/>
      <c r="E541" s="114"/>
      <c r="F541" s="107"/>
      <c r="H541" s="111"/>
      <c r="I541" s="111"/>
      <c r="J541" s="115"/>
      <c r="K541" s="107"/>
      <c r="L541" s="49"/>
      <c r="M541" s="107"/>
      <c r="N541" s="116"/>
    </row>
    <row r="542">
      <c r="C542" s="107"/>
      <c r="D542" s="108"/>
      <c r="E542" s="114"/>
      <c r="F542" s="107"/>
      <c r="H542" s="111"/>
      <c r="I542" s="111"/>
      <c r="J542" s="115"/>
      <c r="K542" s="107"/>
      <c r="L542" s="49"/>
      <c r="M542" s="107"/>
      <c r="N542" s="116"/>
    </row>
    <row r="543">
      <c r="C543" s="107"/>
      <c r="D543" s="108"/>
      <c r="E543" s="114"/>
      <c r="F543" s="107"/>
      <c r="H543" s="111"/>
      <c r="I543" s="111"/>
      <c r="J543" s="115"/>
      <c r="K543" s="107"/>
      <c r="L543" s="49"/>
      <c r="M543" s="107"/>
      <c r="N543" s="116"/>
    </row>
    <row r="544">
      <c r="C544" s="107"/>
      <c r="D544" s="108"/>
      <c r="E544" s="114"/>
      <c r="F544" s="107"/>
      <c r="H544" s="111"/>
      <c r="I544" s="111"/>
      <c r="J544" s="115"/>
      <c r="K544" s="107"/>
      <c r="L544" s="49"/>
      <c r="M544" s="107"/>
      <c r="N544" s="116"/>
    </row>
    <row r="545">
      <c r="C545" s="107"/>
      <c r="D545" s="108"/>
      <c r="E545" s="114"/>
      <c r="F545" s="107"/>
      <c r="H545" s="111"/>
      <c r="I545" s="111"/>
      <c r="J545" s="115"/>
      <c r="K545" s="107"/>
      <c r="L545" s="49"/>
      <c r="M545" s="107"/>
      <c r="N545" s="116"/>
    </row>
    <row r="546">
      <c r="C546" s="107"/>
      <c r="D546" s="108"/>
      <c r="E546" s="114"/>
      <c r="F546" s="107"/>
      <c r="H546" s="111"/>
      <c r="I546" s="111"/>
      <c r="J546" s="115"/>
      <c r="K546" s="107"/>
      <c r="L546" s="49"/>
      <c r="M546" s="107"/>
      <c r="N546" s="116"/>
    </row>
    <row r="547">
      <c r="C547" s="107"/>
      <c r="D547" s="108"/>
      <c r="E547" s="114"/>
      <c r="F547" s="107"/>
      <c r="H547" s="111"/>
      <c r="I547" s="111"/>
      <c r="J547" s="115"/>
      <c r="K547" s="107"/>
      <c r="L547" s="49"/>
      <c r="M547" s="107"/>
      <c r="N547" s="116"/>
    </row>
    <row r="548">
      <c r="C548" s="107"/>
      <c r="D548" s="108"/>
      <c r="E548" s="114"/>
      <c r="F548" s="107"/>
      <c r="H548" s="111"/>
      <c r="I548" s="111"/>
      <c r="J548" s="115"/>
      <c r="K548" s="107"/>
      <c r="L548" s="49"/>
      <c r="M548" s="107"/>
      <c r="N548" s="116"/>
    </row>
    <row r="549">
      <c r="C549" s="107"/>
      <c r="D549" s="108"/>
      <c r="E549" s="114"/>
      <c r="F549" s="107"/>
      <c r="H549" s="111"/>
      <c r="I549" s="111"/>
      <c r="J549" s="115"/>
      <c r="K549" s="107"/>
      <c r="L549" s="49"/>
      <c r="M549" s="107"/>
      <c r="N549" s="116"/>
    </row>
    <row r="550">
      <c r="C550" s="107"/>
      <c r="D550" s="108"/>
      <c r="E550" s="114"/>
      <c r="F550" s="107"/>
      <c r="H550" s="111"/>
      <c r="I550" s="111"/>
      <c r="J550" s="115"/>
      <c r="K550" s="107"/>
      <c r="L550" s="49"/>
      <c r="M550" s="107"/>
      <c r="N550" s="116"/>
    </row>
    <row r="551">
      <c r="C551" s="107"/>
      <c r="D551" s="108"/>
      <c r="E551" s="114"/>
      <c r="F551" s="107"/>
      <c r="H551" s="111"/>
      <c r="I551" s="111"/>
      <c r="J551" s="115"/>
      <c r="K551" s="107"/>
      <c r="L551" s="49"/>
      <c r="M551" s="107"/>
      <c r="N551" s="116"/>
    </row>
    <row r="552">
      <c r="C552" s="107"/>
      <c r="D552" s="108"/>
      <c r="E552" s="114"/>
      <c r="F552" s="107"/>
      <c r="H552" s="111"/>
      <c r="I552" s="111"/>
      <c r="J552" s="115"/>
      <c r="K552" s="107"/>
      <c r="L552" s="49"/>
      <c r="M552" s="107"/>
      <c r="N552" s="116"/>
    </row>
    <row r="553">
      <c r="C553" s="107"/>
      <c r="D553" s="108"/>
      <c r="E553" s="114"/>
      <c r="F553" s="107"/>
      <c r="H553" s="111"/>
      <c r="I553" s="111"/>
      <c r="J553" s="115"/>
      <c r="K553" s="107"/>
      <c r="L553" s="49"/>
      <c r="M553" s="107"/>
      <c r="N553" s="116"/>
    </row>
    <row r="554">
      <c r="C554" s="107"/>
      <c r="D554" s="108"/>
      <c r="E554" s="114"/>
      <c r="F554" s="107"/>
      <c r="H554" s="111"/>
      <c r="I554" s="111"/>
      <c r="J554" s="115"/>
      <c r="K554" s="107"/>
      <c r="L554" s="49"/>
      <c r="M554" s="107"/>
      <c r="N554" s="116"/>
    </row>
    <row r="555">
      <c r="C555" s="107"/>
      <c r="D555" s="108"/>
      <c r="E555" s="114"/>
      <c r="F555" s="107"/>
      <c r="H555" s="111"/>
      <c r="I555" s="111"/>
      <c r="J555" s="115"/>
      <c r="K555" s="107"/>
      <c r="L555" s="49"/>
      <c r="M555" s="107"/>
      <c r="N555" s="116"/>
    </row>
    <row r="556">
      <c r="C556" s="107"/>
      <c r="D556" s="108"/>
      <c r="E556" s="114"/>
      <c r="F556" s="107"/>
      <c r="H556" s="111"/>
      <c r="I556" s="111"/>
      <c r="J556" s="115"/>
      <c r="K556" s="107"/>
      <c r="L556" s="49"/>
      <c r="M556" s="107"/>
      <c r="N556" s="116"/>
    </row>
    <row r="557">
      <c r="C557" s="107"/>
      <c r="D557" s="108"/>
      <c r="E557" s="114"/>
      <c r="F557" s="107"/>
      <c r="H557" s="111"/>
      <c r="I557" s="111"/>
      <c r="J557" s="115"/>
      <c r="K557" s="107"/>
      <c r="L557" s="49"/>
      <c r="M557" s="107"/>
      <c r="N557" s="116"/>
    </row>
    <row r="558">
      <c r="C558" s="107"/>
      <c r="D558" s="108"/>
      <c r="E558" s="114"/>
      <c r="F558" s="107"/>
      <c r="H558" s="111"/>
      <c r="I558" s="111"/>
      <c r="J558" s="115"/>
      <c r="K558" s="107"/>
      <c r="L558" s="49"/>
      <c r="M558" s="107"/>
      <c r="N558" s="116"/>
    </row>
    <row r="559">
      <c r="C559" s="107"/>
      <c r="D559" s="108"/>
      <c r="E559" s="114"/>
      <c r="F559" s="107"/>
      <c r="H559" s="111"/>
      <c r="I559" s="111"/>
      <c r="J559" s="115"/>
      <c r="K559" s="107"/>
      <c r="L559" s="49"/>
      <c r="M559" s="107"/>
      <c r="N559" s="116"/>
    </row>
    <row r="560">
      <c r="C560" s="107"/>
      <c r="D560" s="108"/>
      <c r="E560" s="114"/>
      <c r="F560" s="107"/>
      <c r="H560" s="111"/>
      <c r="I560" s="111"/>
      <c r="J560" s="115"/>
      <c r="K560" s="107"/>
      <c r="L560" s="49"/>
      <c r="M560" s="107"/>
      <c r="N560" s="116"/>
    </row>
    <row r="561">
      <c r="C561" s="107"/>
      <c r="D561" s="108"/>
      <c r="E561" s="114"/>
      <c r="F561" s="107"/>
      <c r="H561" s="111"/>
      <c r="I561" s="111"/>
      <c r="J561" s="115"/>
      <c r="K561" s="107"/>
      <c r="L561" s="49"/>
      <c r="M561" s="107"/>
      <c r="N561" s="116"/>
    </row>
    <row r="562">
      <c r="C562" s="107"/>
      <c r="D562" s="108"/>
      <c r="E562" s="114"/>
      <c r="F562" s="107"/>
      <c r="H562" s="111"/>
      <c r="I562" s="111"/>
      <c r="J562" s="115"/>
      <c r="K562" s="107"/>
      <c r="L562" s="49"/>
      <c r="M562" s="107"/>
      <c r="N562" s="116"/>
    </row>
    <row r="563">
      <c r="C563" s="107"/>
      <c r="D563" s="108"/>
      <c r="E563" s="114"/>
      <c r="F563" s="107"/>
      <c r="H563" s="111"/>
      <c r="I563" s="111"/>
      <c r="J563" s="115"/>
      <c r="K563" s="107"/>
      <c r="L563" s="49"/>
      <c r="M563" s="107"/>
      <c r="N563" s="116"/>
    </row>
    <row r="564">
      <c r="C564" s="107"/>
      <c r="D564" s="108"/>
      <c r="E564" s="114"/>
      <c r="F564" s="107"/>
      <c r="H564" s="111"/>
      <c r="I564" s="111"/>
      <c r="J564" s="115"/>
      <c r="K564" s="107"/>
      <c r="L564" s="49"/>
      <c r="M564" s="107"/>
      <c r="N564" s="116"/>
    </row>
    <row r="565">
      <c r="C565" s="107"/>
      <c r="D565" s="108"/>
      <c r="E565" s="114"/>
      <c r="F565" s="107"/>
      <c r="H565" s="111"/>
      <c r="I565" s="111"/>
      <c r="J565" s="115"/>
      <c r="K565" s="107"/>
      <c r="L565" s="49"/>
      <c r="M565" s="107"/>
      <c r="N565" s="116"/>
    </row>
    <row r="566">
      <c r="C566" s="107"/>
      <c r="D566" s="108"/>
      <c r="E566" s="114"/>
      <c r="F566" s="107"/>
      <c r="H566" s="111"/>
      <c r="I566" s="111"/>
      <c r="J566" s="115"/>
      <c r="K566" s="107"/>
      <c r="L566" s="49"/>
      <c r="M566" s="107"/>
      <c r="N566" s="116"/>
    </row>
    <row r="567">
      <c r="C567" s="107"/>
      <c r="D567" s="108"/>
      <c r="E567" s="114"/>
      <c r="F567" s="107"/>
      <c r="H567" s="111"/>
      <c r="I567" s="111"/>
      <c r="J567" s="115"/>
      <c r="K567" s="107"/>
      <c r="L567" s="49"/>
      <c r="M567" s="107"/>
      <c r="N567" s="116"/>
    </row>
    <row r="568">
      <c r="C568" s="107"/>
      <c r="D568" s="108"/>
      <c r="E568" s="114"/>
      <c r="F568" s="107"/>
      <c r="H568" s="111"/>
      <c r="I568" s="111"/>
      <c r="J568" s="115"/>
      <c r="K568" s="107"/>
      <c r="L568" s="49"/>
      <c r="M568" s="107"/>
      <c r="N568" s="116"/>
    </row>
    <row r="569">
      <c r="C569" s="107"/>
      <c r="D569" s="108"/>
      <c r="E569" s="114"/>
      <c r="F569" s="107"/>
      <c r="H569" s="111"/>
      <c r="I569" s="111"/>
      <c r="J569" s="115"/>
      <c r="K569" s="107"/>
      <c r="L569" s="49"/>
      <c r="M569" s="107"/>
      <c r="N569" s="116"/>
    </row>
    <row r="570">
      <c r="C570" s="107"/>
      <c r="D570" s="108"/>
      <c r="E570" s="114"/>
      <c r="F570" s="107"/>
      <c r="H570" s="111"/>
      <c r="I570" s="111"/>
      <c r="J570" s="115"/>
      <c r="K570" s="107"/>
      <c r="L570" s="49"/>
      <c r="M570" s="107"/>
      <c r="N570" s="116"/>
    </row>
    <row r="571">
      <c r="C571" s="107"/>
      <c r="D571" s="108"/>
      <c r="E571" s="114"/>
      <c r="F571" s="107"/>
      <c r="H571" s="111"/>
      <c r="I571" s="111"/>
      <c r="J571" s="115"/>
      <c r="K571" s="107"/>
      <c r="L571" s="49"/>
      <c r="M571" s="107"/>
      <c r="N571" s="116"/>
    </row>
    <row r="572">
      <c r="C572" s="107"/>
      <c r="D572" s="108"/>
      <c r="E572" s="114"/>
      <c r="F572" s="107"/>
      <c r="H572" s="111"/>
      <c r="I572" s="111"/>
      <c r="J572" s="115"/>
      <c r="K572" s="107"/>
      <c r="L572" s="49"/>
      <c r="M572" s="107"/>
      <c r="N572" s="116"/>
    </row>
    <row r="573">
      <c r="C573" s="107"/>
      <c r="D573" s="108"/>
      <c r="E573" s="114"/>
      <c r="F573" s="107"/>
      <c r="H573" s="111"/>
      <c r="I573" s="111"/>
      <c r="J573" s="115"/>
      <c r="K573" s="107"/>
      <c r="L573" s="49"/>
      <c r="M573" s="107"/>
      <c r="N573" s="116"/>
    </row>
    <row r="574">
      <c r="C574" s="107"/>
      <c r="D574" s="108"/>
      <c r="E574" s="114"/>
      <c r="F574" s="107"/>
      <c r="H574" s="111"/>
      <c r="I574" s="111"/>
      <c r="J574" s="115"/>
      <c r="K574" s="107"/>
      <c r="L574" s="49"/>
      <c r="M574" s="107"/>
      <c r="N574" s="116"/>
    </row>
    <row r="575">
      <c r="C575" s="107"/>
      <c r="D575" s="108"/>
      <c r="E575" s="114"/>
      <c r="F575" s="107"/>
      <c r="H575" s="111"/>
      <c r="I575" s="111"/>
      <c r="J575" s="115"/>
      <c r="K575" s="107"/>
      <c r="L575" s="49"/>
      <c r="M575" s="107"/>
      <c r="N575" s="116"/>
    </row>
    <row r="576">
      <c r="C576" s="107"/>
      <c r="D576" s="108"/>
      <c r="E576" s="114"/>
      <c r="F576" s="107"/>
      <c r="H576" s="111"/>
      <c r="I576" s="111"/>
      <c r="J576" s="115"/>
      <c r="K576" s="107"/>
      <c r="L576" s="49"/>
      <c r="M576" s="107"/>
      <c r="N576" s="116"/>
    </row>
    <row r="577">
      <c r="C577" s="107"/>
      <c r="D577" s="108"/>
      <c r="E577" s="114"/>
      <c r="F577" s="107"/>
      <c r="H577" s="111"/>
      <c r="I577" s="111"/>
      <c r="J577" s="115"/>
      <c r="K577" s="107"/>
      <c r="L577" s="49"/>
      <c r="M577" s="107"/>
      <c r="N577" s="116"/>
    </row>
    <row r="578">
      <c r="C578" s="107"/>
      <c r="D578" s="108"/>
      <c r="E578" s="114"/>
      <c r="F578" s="107"/>
      <c r="H578" s="111"/>
      <c r="I578" s="111"/>
      <c r="J578" s="115"/>
      <c r="K578" s="107"/>
      <c r="L578" s="49"/>
      <c r="M578" s="107"/>
      <c r="N578" s="116"/>
    </row>
    <row r="579">
      <c r="C579" s="107"/>
      <c r="D579" s="108"/>
      <c r="E579" s="114"/>
      <c r="F579" s="107"/>
      <c r="H579" s="111"/>
      <c r="I579" s="111"/>
      <c r="J579" s="115"/>
      <c r="K579" s="107"/>
      <c r="L579" s="49"/>
      <c r="M579" s="107"/>
      <c r="N579" s="116"/>
    </row>
    <row r="580">
      <c r="C580" s="107"/>
      <c r="D580" s="108"/>
      <c r="E580" s="114"/>
      <c r="F580" s="107"/>
      <c r="H580" s="111"/>
      <c r="I580" s="111"/>
      <c r="J580" s="115"/>
      <c r="K580" s="107"/>
      <c r="L580" s="49"/>
      <c r="M580" s="107"/>
      <c r="N580" s="116"/>
    </row>
    <row r="581">
      <c r="C581" s="107"/>
      <c r="D581" s="108"/>
      <c r="E581" s="114"/>
      <c r="F581" s="107"/>
      <c r="H581" s="111"/>
      <c r="I581" s="111"/>
      <c r="J581" s="115"/>
      <c r="K581" s="107"/>
      <c r="L581" s="49"/>
      <c r="M581" s="107"/>
      <c r="N581" s="116"/>
    </row>
    <row r="582">
      <c r="C582" s="107"/>
      <c r="D582" s="108"/>
      <c r="E582" s="114"/>
      <c r="F582" s="107"/>
      <c r="H582" s="111"/>
      <c r="I582" s="111"/>
      <c r="J582" s="115"/>
      <c r="K582" s="107"/>
      <c r="L582" s="49"/>
      <c r="M582" s="107"/>
      <c r="N582" s="116"/>
    </row>
    <row r="583">
      <c r="C583" s="107"/>
      <c r="D583" s="108"/>
      <c r="E583" s="114"/>
      <c r="F583" s="107"/>
      <c r="H583" s="111"/>
      <c r="I583" s="111"/>
      <c r="J583" s="115"/>
      <c r="K583" s="107"/>
      <c r="L583" s="49"/>
      <c r="M583" s="107"/>
      <c r="N583" s="116"/>
    </row>
    <row r="584">
      <c r="C584" s="107"/>
      <c r="D584" s="108"/>
      <c r="E584" s="114"/>
      <c r="F584" s="107"/>
      <c r="H584" s="111"/>
      <c r="I584" s="111"/>
      <c r="J584" s="115"/>
      <c r="K584" s="107"/>
      <c r="L584" s="49"/>
      <c r="M584" s="107"/>
      <c r="N584" s="116"/>
    </row>
    <row r="585">
      <c r="C585" s="107"/>
      <c r="D585" s="108"/>
      <c r="E585" s="114"/>
      <c r="F585" s="107"/>
      <c r="H585" s="111"/>
      <c r="I585" s="111"/>
      <c r="J585" s="115"/>
      <c r="K585" s="107"/>
      <c r="L585" s="49"/>
      <c r="M585" s="107"/>
      <c r="N585" s="116"/>
    </row>
    <row r="586">
      <c r="C586" s="107"/>
      <c r="D586" s="108"/>
      <c r="E586" s="114"/>
      <c r="F586" s="107"/>
      <c r="H586" s="111"/>
      <c r="I586" s="111"/>
      <c r="J586" s="115"/>
      <c r="K586" s="107"/>
      <c r="L586" s="49"/>
      <c r="M586" s="107"/>
      <c r="N586" s="116"/>
    </row>
    <row r="587">
      <c r="C587" s="107"/>
      <c r="D587" s="108"/>
      <c r="E587" s="114"/>
      <c r="F587" s="107"/>
      <c r="H587" s="111"/>
      <c r="I587" s="111"/>
      <c r="J587" s="115"/>
      <c r="K587" s="107"/>
      <c r="L587" s="49"/>
      <c r="M587" s="107"/>
      <c r="N587" s="116"/>
    </row>
    <row r="588">
      <c r="C588" s="107"/>
      <c r="D588" s="108"/>
      <c r="E588" s="114"/>
      <c r="F588" s="107"/>
      <c r="H588" s="111"/>
      <c r="I588" s="111"/>
      <c r="J588" s="115"/>
      <c r="K588" s="107"/>
      <c r="L588" s="49"/>
      <c r="M588" s="107"/>
      <c r="N588" s="116"/>
    </row>
    <row r="589">
      <c r="C589" s="107"/>
      <c r="D589" s="108"/>
      <c r="E589" s="114"/>
      <c r="F589" s="107"/>
      <c r="H589" s="111"/>
      <c r="I589" s="111"/>
      <c r="J589" s="115"/>
      <c r="K589" s="107"/>
      <c r="L589" s="49"/>
      <c r="M589" s="107"/>
      <c r="N589" s="116"/>
    </row>
    <row r="590">
      <c r="C590" s="107"/>
      <c r="D590" s="108"/>
      <c r="E590" s="114"/>
      <c r="F590" s="107"/>
      <c r="H590" s="111"/>
      <c r="I590" s="111"/>
      <c r="J590" s="115"/>
      <c r="K590" s="107"/>
      <c r="L590" s="49"/>
      <c r="M590" s="107"/>
      <c r="N590" s="116"/>
    </row>
    <row r="591">
      <c r="C591" s="107"/>
      <c r="D591" s="108"/>
      <c r="E591" s="114"/>
      <c r="F591" s="107"/>
      <c r="H591" s="111"/>
      <c r="I591" s="111"/>
      <c r="J591" s="115"/>
      <c r="K591" s="107"/>
      <c r="L591" s="49"/>
      <c r="M591" s="107"/>
      <c r="N591" s="116"/>
    </row>
    <row r="592">
      <c r="C592" s="107"/>
      <c r="D592" s="108"/>
      <c r="E592" s="114"/>
      <c r="F592" s="107"/>
      <c r="H592" s="111"/>
      <c r="I592" s="111"/>
      <c r="J592" s="115"/>
      <c r="K592" s="107"/>
      <c r="L592" s="49"/>
      <c r="M592" s="107"/>
      <c r="N592" s="116"/>
    </row>
    <row r="593">
      <c r="C593" s="107"/>
      <c r="D593" s="108"/>
      <c r="E593" s="114"/>
      <c r="F593" s="107"/>
      <c r="H593" s="111"/>
      <c r="I593" s="111"/>
      <c r="J593" s="115"/>
      <c r="K593" s="107"/>
      <c r="L593" s="49"/>
      <c r="M593" s="107"/>
      <c r="N593" s="116"/>
    </row>
    <row r="594">
      <c r="C594" s="107"/>
      <c r="D594" s="108"/>
      <c r="E594" s="114"/>
      <c r="F594" s="107"/>
      <c r="H594" s="111"/>
      <c r="I594" s="111"/>
      <c r="J594" s="115"/>
      <c r="K594" s="107"/>
      <c r="L594" s="49"/>
      <c r="M594" s="107"/>
      <c r="N594" s="116"/>
    </row>
    <row r="595">
      <c r="C595" s="107"/>
      <c r="D595" s="108"/>
      <c r="E595" s="114"/>
      <c r="F595" s="107"/>
      <c r="H595" s="111"/>
      <c r="I595" s="111"/>
      <c r="J595" s="115"/>
      <c r="K595" s="107"/>
      <c r="L595" s="49"/>
      <c r="M595" s="107"/>
      <c r="N595" s="116"/>
    </row>
    <row r="596">
      <c r="C596" s="107"/>
      <c r="D596" s="108"/>
      <c r="E596" s="114"/>
      <c r="F596" s="107"/>
      <c r="H596" s="111"/>
      <c r="I596" s="111"/>
      <c r="J596" s="115"/>
      <c r="K596" s="107"/>
      <c r="L596" s="49"/>
      <c r="M596" s="107"/>
      <c r="N596" s="116"/>
    </row>
    <row r="597">
      <c r="C597" s="107"/>
      <c r="D597" s="108"/>
      <c r="E597" s="114"/>
      <c r="F597" s="107"/>
      <c r="H597" s="111"/>
      <c r="I597" s="111"/>
      <c r="J597" s="115"/>
      <c r="K597" s="107"/>
      <c r="L597" s="49"/>
      <c r="M597" s="107"/>
      <c r="N597" s="116"/>
    </row>
    <row r="598">
      <c r="C598" s="107"/>
      <c r="D598" s="108"/>
      <c r="E598" s="114"/>
      <c r="F598" s="107"/>
      <c r="H598" s="111"/>
      <c r="I598" s="111"/>
      <c r="J598" s="115"/>
      <c r="K598" s="107"/>
      <c r="L598" s="49"/>
      <c r="M598" s="107"/>
      <c r="N598" s="116"/>
    </row>
    <row r="599">
      <c r="C599" s="107"/>
      <c r="D599" s="108"/>
      <c r="E599" s="114"/>
      <c r="F599" s="107"/>
      <c r="H599" s="111"/>
      <c r="I599" s="111"/>
      <c r="J599" s="115"/>
      <c r="K599" s="107"/>
      <c r="L599" s="49"/>
      <c r="M599" s="107"/>
      <c r="N599" s="116"/>
    </row>
    <row r="600">
      <c r="C600" s="107"/>
      <c r="D600" s="108"/>
      <c r="E600" s="114"/>
      <c r="F600" s="107"/>
      <c r="H600" s="111"/>
      <c r="I600" s="111"/>
      <c r="J600" s="115"/>
      <c r="K600" s="107"/>
      <c r="L600" s="49"/>
      <c r="M600" s="107"/>
      <c r="N600" s="116"/>
    </row>
    <row r="601">
      <c r="C601" s="107"/>
      <c r="D601" s="108"/>
      <c r="E601" s="114"/>
      <c r="F601" s="107"/>
      <c r="H601" s="111"/>
      <c r="I601" s="111"/>
      <c r="J601" s="115"/>
      <c r="K601" s="107"/>
      <c r="L601" s="49"/>
      <c r="M601" s="107"/>
      <c r="N601" s="116"/>
    </row>
    <row r="602">
      <c r="C602" s="107"/>
      <c r="D602" s="108"/>
      <c r="E602" s="114"/>
      <c r="F602" s="107"/>
      <c r="H602" s="111"/>
      <c r="I602" s="111"/>
      <c r="J602" s="115"/>
      <c r="K602" s="107"/>
      <c r="L602" s="49"/>
      <c r="M602" s="107"/>
      <c r="N602" s="116"/>
    </row>
    <row r="603">
      <c r="C603" s="107"/>
      <c r="D603" s="108"/>
      <c r="E603" s="114"/>
      <c r="F603" s="107"/>
      <c r="H603" s="111"/>
      <c r="I603" s="111"/>
      <c r="J603" s="115"/>
      <c r="K603" s="107"/>
      <c r="L603" s="49"/>
      <c r="M603" s="107"/>
      <c r="N603" s="116"/>
    </row>
    <row r="604">
      <c r="C604" s="107"/>
      <c r="D604" s="108"/>
      <c r="E604" s="114"/>
      <c r="F604" s="107"/>
      <c r="H604" s="111"/>
      <c r="I604" s="111"/>
      <c r="J604" s="115"/>
      <c r="K604" s="107"/>
      <c r="L604" s="49"/>
      <c r="M604" s="107"/>
      <c r="N604" s="116"/>
    </row>
    <row r="605">
      <c r="C605" s="107"/>
      <c r="D605" s="108"/>
      <c r="E605" s="114"/>
      <c r="F605" s="107"/>
      <c r="H605" s="111"/>
      <c r="I605" s="111"/>
      <c r="J605" s="115"/>
      <c r="K605" s="107"/>
      <c r="L605" s="49"/>
      <c r="M605" s="107"/>
      <c r="N605" s="116"/>
    </row>
    <row r="606">
      <c r="C606" s="107"/>
      <c r="D606" s="108"/>
      <c r="E606" s="114"/>
      <c r="F606" s="107"/>
      <c r="H606" s="111"/>
      <c r="I606" s="111"/>
      <c r="J606" s="115"/>
      <c r="K606" s="107"/>
      <c r="L606" s="49"/>
      <c r="M606" s="107"/>
      <c r="N606" s="116"/>
    </row>
    <row r="607">
      <c r="C607" s="107"/>
      <c r="D607" s="108"/>
      <c r="E607" s="114"/>
      <c r="F607" s="107"/>
      <c r="H607" s="111"/>
      <c r="I607" s="111"/>
      <c r="J607" s="115"/>
      <c r="K607" s="107"/>
      <c r="L607" s="49"/>
      <c r="M607" s="107"/>
      <c r="N607" s="116"/>
    </row>
    <row r="608">
      <c r="C608" s="107"/>
      <c r="D608" s="108"/>
      <c r="E608" s="114"/>
      <c r="F608" s="107"/>
      <c r="H608" s="111"/>
      <c r="I608" s="111"/>
      <c r="J608" s="115"/>
      <c r="K608" s="107"/>
      <c r="L608" s="49"/>
      <c r="M608" s="107"/>
      <c r="N608" s="116"/>
    </row>
    <row r="609">
      <c r="C609" s="107"/>
      <c r="D609" s="108"/>
      <c r="E609" s="114"/>
      <c r="F609" s="107"/>
      <c r="H609" s="111"/>
      <c r="I609" s="111"/>
      <c r="J609" s="115"/>
      <c r="K609" s="107"/>
      <c r="L609" s="49"/>
      <c r="M609" s="107"/>
      <c r="N609" s="116"/>
    </row>
    <row r="610">
      <c r="C610" s="107"/>
      <c r="D610" s="108"/>
      <c r="E610" s="114"/>
      <c r="F610" s="107"/>
      <c r="H610" s="111"/>
      <c r="I610" s="111"/>
      <c r="J610" s="115"/>
      <c r="K610" s="107"/>
      <c r="L610" s="49"/>
      <c r="M610" s="107"/>
      <c r="N610" s="116"/>
    </row>
    <row r="611">
      <c r="C611" s="107"/>
      <c r="D611" s="108"/>
      <c r="E611" s="114"/>
      <c r="F611" s="107"/>
      <c r="H611" s="111"/>
      <c r="I611" s="111"/>
      <c r="J611" s="115"/>
      <c r="K611" s="107"/>
      <c r="L611" s="49"/>
      <c r="M611" s="107"/>
      <c r="N611" s="116"/>
    </row>
    <row r="612">
      <c r="C612" s="107"/>
      <c r="D612" s="108"/>
      <c r="E612" s="114"/>
      <c r="F612" s="107"/>
      <c r="H612" s="111"/>
      <c r="I612" s="111"/>
      <c r="J612" s="115"/>
      <c r="K612" s="107"/>
      <c r="L612" s="49"/>
      <c r="M612" s="107"/>
      <c r="N612" s="116"/>
    </row>
    <row r="613">
      <c r="C613" s="107"/>
      <c r="D613" s="108"/>
      <c r="E613" s="114"/>
      <c r="F613" s="107"/>
      <c r="H613" s="111"/>
      <c r="I613" s="111"/>
      <c r="J613" s="115"/>
      <c r="K613" s="107"/>
      <c r="L613" s="49"/>
      <c r="M613" s="107"/>
      <c r="N613" s="116"/>
    </row>
    <row r="614">
      <c r="C614" s="107"/>
      <c r="D614" s="108"/>
      <c r="E614" s="114"/>
      <c r="F614" s="107"/>
      <c r="H614" s="111"/>
      <c r="I614" s="111"/>
      <c r="J614" s="115"/>
      <c r="K614" s="107"/>
      <c r="L614" s="49"/>
      <c r="M614" s="107"/>
      <c r="N614" s="116"/>
    </row>
    <row r="615">
      <c r="C615" s="107"/>
      <c r="D615" s="108"/>
      <c r="E615" s="114"/>
      <c r="F615" s="107"/>
      <c r="H615" s="111"/>
      <c r="I615" s="111"/>
      <c r="J615" s="115"/>
      <c r="K615" s="107"/>
      <c r="L615" s="49"/>
      <c r="M615" s="107"/>
      <c r="N615" s="116"/>
    </row>
    <row r="616">
      <c r="C616" s="107"/>
      <c r="D616" s="108"/>
      <c r="E616" s="114"/>
      <c r="F616" s="107"/>
      <c r="H616" s="111"/>
      <c r="I616" s="111"/>
      <c r="J616" s="115"/>
      <c r="K616" s="107"/>
      <c r="L616" s="49"/>
      <c r="M616" s="107"/>
      <c r="N616" s="116"/>
    </row>
    <row r="617">
      <c r="C617" s="107"/>
      <c r="D617" s="108"/>
      <c r="E617" s="114"/>
      <c r="F617" s="107"/>
      <c r="H617" s="111"/>
      <c r="I617" s="111"/>
      <c r="J617" s="115"/>
      <c r="K617" s="107"/>
      <c r="L617" s="49"/>
      <c r="M617" s="107"/>
      <c r="N617" s="116"/>
    </row>
    <row r="618">
      <c r="C618" s="107"/>
      <c r="D618" s="108"/>
      <c r="E618" s="114"/>
      <c r="F618" s="107"/>
      <c r="H618" s="111"/>
      <c r="I618" s="111"/>
      <c r="J618" s="115"/>
      <c r="K618" s="107"/>
      <c r="L618" s="49"/>
      <c r="M618" s="107"/>
      <c r="N618" s="116"/>
    </row>
    <row r="619">
      <c r="C619" s="107"/>
      <c r="D619" s="108"/>
      <c r="E619" s="114"/>
      <c r="F619" s="107"/>
      <c r="H619" s="111"/>
      <c r="I619" s="111"/>
      <c r="J619" s="115"/>
      <c r="K619" s="107"/>
      <c r="L619" s="49"/>
      <c r="M619" s="107"/>
      <c r="N619" s="116"/>
    </row>
    <row r="620">
      <c r="C620" s="107"/>
      <c r="D620" s="108"/>
      <c r="E620" s="114"/>
      <c r="F620" s="107"/>
      <c r="H620" s="111"/>
      <c r="I620" s="111"/>
      <c r="J620" s="115"/>
      <c r="K620" s="107"/>
      <c r="L620" s="49"/>
      <c r="M620" s="107"/>
      <c r="N620" s="116"/>
    </row>
    <row r="621">
      <c r="C621" s="107"/>
      <c r="D621" s="108"/>
      <c r="E621" s="114"/>
      <c r="F621" s="107"/>
      <c r="H621" s="111"/>
      <c r="I621" s="111"/>
      <c r="J621" s="115"/>
      <c r="K621" s="107"/>
      <c r="L621" s="49"/>
      <c r="M621" s="107"/>
      <c r="N621" s="116"/>
    </row>
    <row r="622">
      <c r="C622" s="107"/>
      <c r="D622" s="108"/>
      <c r="E622" s="114"/>
      <c r="F622" s="107"/>
      <c r="H622" s="111"/>
      <c r="I622" s="111"/>
      <c r="J622" s="115"/>
      <c r="K622" s="107"/>
      <c r="L622" s="49"/>
      <c r="M622" s="107"/>
      <c r="N622" s="116"/>
    </row>
    <row r="623">
      <c r="C623" s="107"/>
      <c r="D623" s="108"/>
      <c r="E623" s="114"/>
      <c r="F623" s="107"/>
      <c r="H623" s="111"/>
      <c r="I623" s="111"/>
      <c r="J623" s="115"/>
      <c r="K623" s="107"/>
      <c r="L623" s="49"/>
      <c r="M623" s="107"/>
      <c r="N623" s="116"/>
    </row>
    <row r="624">
      <c r="C624" s="107"/>
      <c r="D624" s="108"/>
      <c r="E624" s="114"/>
      <c r="F624" s="107"/>
      <c r="H624" s="111"/>
      <c r="I624" s="111"/>
      <c r="J624" s="115"/>
      <c r="K624" s="107"/>
      <c r="L624" s="49"/>
      <c r="M624" s="107"/>
      <c r="N624" s="116"/>
    </row>
    <row r="625">
      <c r="C625" s="107"/>
      <c r="D625" s="108"/>
      <c r="E625" s="114"/>
      <c r="F625" s="107"/>
      <c r="H625" s="111"/>
      <c r="I625" s="111"/>
      <c r="J625" s="115"/>
      <c r="K625" s="107"/>
      <c r="L625" s="49"/>
      <c r="M625" s="107"/>
      <c r="N625" s="116"/>
    </row>
    <row r="626">
      <c r="C626" s="107"/>
      <c r="D626" s="108"/>
      <c r="E626" s="114"/>
      <c r="F626" s="107"/>
      <c r="H626" s="111"/>
      <c r="I626" s="111"/>
      <c r="J626" s="115"/>
      <c r="K626" s="107"/>
      <c r="L626" s="49"/>
      <c r="M626" s="107"/>
      <c r="N626" s="116"/>
    </row>
    <row r="627">
      <c r="C627" s="107"/>
      <c r="D627" s="108"/>
      <c r="E627" s="114"/>
      <c r="F627" s="107"/>
      <c r="H627" s="111"/>
      <c r="I627" s="111"/>
      <c r="J627" s="115"/>
      <c r="K627" s="107"/>
      <c r="L627" s="49"/>
      <c r="M627" s="107"/>
      <c r="N627" s="116"/>
    </row>
    <row r="628">
      <c r="C628" s="107"/>
      <c r="D628" s="108"/>
      <c r="E628" s="114"/>
      <c r="F628" s="107"/>
      <c r="H628" s="111"/>
      <c r="I628" s="111"/>
      <c r="J628" s="115"/>
      <c r="K628" s="107"/>
      <c r="L628" s="49"/>
      <c r="M628" s="107"/>
      <c r="N628" s="116"/>
    </row>
    <row r="629">
      <c r="C629" s="107"/>
      <c r="D629" s="108"/>
      <c r="E629" s="114"/>
      <c r="F629" s="107"/>
      <c r="H629" s="111"/>
      <c r="I629" s="111"/>
      <c r="J629" s="115"/>
      <c r="K629" s="107"/>
      <c r="L629" s="49"/>
      <c r="M629" s="107"/>
      <c r="N629" s="116"/>
    </row>
    <row r="630">
      <c r="C630" s="107"/>
      <c r="D630" s="108"/>
      <c r="E630" s="114"/>
      <c r="F630" s="107"/>
      <c r="H630" s="111"/>
      <c r="I630" s="111"/>
      <c r="J630" s="115"/>
      <c r="K630" s="107"/>
      <c r="L630" s="49"/>
      <c r="M630" s="107"/>
      <c r="N630" s="116"/>
    </row>
    <row r="631">
      <c r="C631" s="107"/>
      <c r="D631" s="108"/>
      <c r="E631" s="114"/>
      <c r="F631" s="107"/>
      <c r="H631" s="111"/>
      <c r="I631" s="111"/>
      <c r="J631" s="115"/>
      <c r="K631" s="107"/>
      <c r="L631" s="49"/>
      <c r="M631" s="107"/>
      <c r="N631" s="116"/>
    </row>
    <row r="632">
      <c r="C632" s="107"/>
      <c r="D632" s="108"/>
      <c r="E632" s="114"/>
      <c r="F632" s="107"/>
      <c r="H632" s="111"/>
      <c r="I632" s="111"/>
      <c r="J632" s="115"/>
      <c r="K632" s="107"/>
      <c r="L632" s="49"/>
      <c r="M632" s="107"/>
      <c r="N632" s="116"/>
    </row>
    <row r="633">
      <c r="C633" s="107"/>
      <c r="D633" s="108"/>
      <c r="E633" s="114"/>
      <c r="F633" s="107"/>
      <c r="H633" s="111"/>
      <c r="I633" s="111"/>
      <c r="J633" s="115"/>
      <c r="K633" s="107"/>
      <c r="L633" s="49"/>
      <c r="M633" s="107"/>
      <c r="N633" s="116"/>
    </row>
    <row r="634">
      <c r="C634" s="107"/>
      <c r="D634" s="108"/>
      <c r="E634" s="114"/>
      <c r="F634" s="107"/>
      <c r="H634" s="111"/>
      <c r="I634" s="111"/>
      <c r="J634" s="115"/>
      <c r="K634" s="107"/>
      <c r="L634" s="49"/>
      <c r="M634" s="107"/>
      <c r="N634" s="116"/>
    </row>
    <row r="635">
      <c r="C635" s="107"/>
      <c r="D635" s="108"/>
      <c r="E635" s="114"/>
      <c r="F635" s="107"/>
      <c r="H635" s="111"/>
      <c r="I635" s="111"/>
      <c r="J635" s="115"/>
      <c r="K635" s="107"/>
      <c r="L635" s="49"/>
      <c r="M635" s="107"/>
      <c r="N635" s="116"/>
    </row>
    <row r="636">
      <c r="C636" s="107"/>
      <c r="D636" s="108"/>
      <c r="E636" s="114"/>
      <c r="F636" s="107"/>
      <c r="H636" s="111"/>
      <c r="I636" s="111"/>
      <c r="J636" s="115"/>
      <c r="K636" s="107"/>
      <c r="L636" s="49"/>
      <c r="M636" s="107"/>
      <c r="N636" s="116"/>
    </row>
    <row r="637">
      <c r="C637" s="107"/>
      <c r="D637" s="108"/>
      <c r="E637" s="114"/>
      <c r="F637" s="107"/>
      <c r="H637" s="111"/>
      <c r="I637" s="111"/>
      <c r="J637" s="115"/>
      <c r="K637" s="107"/>
      <c r="L637" s="49"/>
      <c r="M637" s="107"/>
      <c r="N637" s="116"/>
    </row>
    <row r="638">
      <c r="C638" s="107"/>
      <c r="D638" s="108"/>
      <c r="E638" s="114"/>
      <c r="F638" s="107"/>
      <c r="H638" s="111"/>
      <c r="I638" s="111"/>
      <c r="J638" s="115"/>
      <c r="K638" s="107"/>
      <c r="L638" s="49"/>
      <c r="M638" s="107"/>
      <c r="N638" s="116"/>
    </row>
    <row r="639">
      <c r="C639" s="107"/>
      <c r="D639" s="108"/>
      <c r="E639" s="114"/>
      <c r="F639" s="107"/>
      <c r="H639" s="111"/>
      <c r="I639" s="111"/>
      <c r="J639" s="115"/>
      <c r="K639" s="107"/>
      <c r="L639" s="49"/>
      <c r="M639" s="107"/>
      <c r="N639" s="116"/>
    </row>
    <row r="640">
      <c r="C640" s="107"/>
      <c r="D640" s="108"/>
      <c r="E640" s="114"/>
      <c r="F640" s="107"/>
      <c r="H640" s="111"/>
      <c r="I640" s="111"/>
      <c r="J640" s="115"/>
      <c r="K640" s="107"/>
      <c r="L640" s="49"/>
      <c r="M640" s="107"/>
      <c r="N640" s="116"/>
    </row>
    <row r="641">
      <c r="C641" s="107"/>
      <c r="D641" s="108"/>
      <c r="E641" s="114"/>
      <c r="F641" s="107"/>
      <c r="H641" s="111"/>
      <c r="I641" s="111"/>
      <c r="J641" s="115"/>
      <c r="K641" s="107"/>
      <c r="L641" s="49"/>
      <c r="M641" s="107"/>
      <c r="N641" s="116"/>
    </row>
    <row r="642">
      <c r="C642" s="107"/>
      <c r="D642" s="108"/>
      <c r="E642" s="114"/>
      <c r="F642" s="107"/>
      <c r="H642" s="111"/>
      <c r="I642" s="111"/>
      <c r="J642" s="115"/>
      <c r="K642" s="107"/>
      <c r="L642" s="49"/>
      <c r="M642" s="107"/>
      <c r="N642" s="116"/>
    </row>
    <row r="643">
      <c r="C643" s="107"/>
      <c r="D643" s="108"/>
      <c r="E643" s="114"/>
      <c r="F643" s="107"/>
      <c r="H643" s="111"/>
      <c r="I643" s="111"/>
      <c r="J643" s="115"/>
      <c r="K643" s="107"/>
      <c r="L643" s="49"/>
      <c r="M643" s="107"/>
      <c r="N643" s="116"/>
    </row>
    <row r="644">
      <c r="C644" s="107"/>
      <c r="D644" s="108"/>
      <c r="E644" s="114"/>
      <c r="F644" s="107"/>
      <c r="H644" s="111"/>
      <c r="I644" s="111"/>
      <c r="J644" s="115"/>
      <c r="K644" s="107"/>
      <c r="L644" s="49"/>
      <c r="M644" s="107"/>
      <c r="N644" s="116"/>
    </row>
    <row r="645">
      <c r="C645" s="107"/>
      <c r="D645" s="108"/>
      <c r="E645" s="114"/>
      <c r="F645" s="107"/>
      <c r="H645" s="111"/>
      <c r="I645" s="111"/>
      <c r="J645" s="115"/>
      <c r="K645" s="107"/>
      <c r="L645" s="49"/>
      <c r="M645" s="107"/>
      <c r="N645" s="116"/>
    </row>
    <row r="646">
      <c r="C646" s="107"/>
      <c r="D646" s="108"/>
      <c r="E646" s="114"/>
      <c r="F646" s="107"/>
      <c r="H646" s="111"/>
      <c r="I646" s="111"/>
      <c r="J646" s="115"/>
      <c r="K646" s="107"/>
      <c r="L646" s="49"/>
      <c r="M646" s="107"/>
      <c r="N646" s="116"/>
    </row>
    <row r="647">
      <c r="C647" s="107"/>
      <c r="D647" s="108"/>
      <c r="E647" s="114"/>
      <c r="F647" s="107"/>
      <c r="H647" s="111"/>
      <c r="I647" s="111"/>
      <c r="J647" s="115"/>
      <c r="K647" s="107"/>
      <c r="L647" s="49"/>
      <c r="M647" s="107"/>
      <c r="N647" s="116"/>
    </row>
    <row r="648">
      <c r="C648" s="107"/>
      <c r="D648" s="108"/>
      <c r="E648" s="114"/>
      <c r="F648" s="107"/>
      <c r="H648" s="111"/>
      <c r="I648" s="111"/>
      <c r="J648" s="115"/>
      <c r="K648" s="107"/>
      <c r="L648" s="49"/>
      <c r="M648" s="107"/>
      <c r="N648" s="116"/>
    </row>
    <row r="649">
      <c r="C649" s="107"/>
      <c r="D649" s="108"/>
      <c r="E649" s="114"/>
      <c r="F649" s="107"/>
      <c r="H649" s="111"/>
      <c r="I649" s="111"/>
      <c r="J649" s="115"/>
      <c r="K649" s="107"/>
      <c r="L649" s="49"/>
      <c r="M649" s="107"/>
      <c r="N649" s="116"/>
    </row>
    <row r="650">
      <c r="C650" s="107"/>
      <c r="D650" s="108"/>
      <c r="E650" s="114"/>
      <c r="F650" s="107"/>
      <c r="H650" s="111"/>
      <c r="I650" s="111"/>
      <c r="J650" s="115"/>
      <c r="K650" s="107"/>
      <c r="L650" s="49"/>
      <c r="M650" s="107"/>
      <c r="N650" s="116"/>
    </row>
    <row r="651">
      <c r="C651" s="107"/>
      <c r="D651" s="108"/>
      <c r="E651" s="114"/>
      <c r="F651" s="107"/>
      <c r="H651" s="111"/>
      <c r="I651" s="111"/>
      <c r="J651" s="115"/>
      <c r="K651" s="107"/>
      <c r="L651" s="49"/>
      <c r="M651" s="107"/>
      <c r="N651" s="116"/>
    </row>
    <row r="652">
      <c r="C652" s="107"/>
      <c r="D652" s="108"/>
      <c r="E652" s="114"/>
      <c r="F652" s="107"/>
      <c r="H652" s="111"/>
      <c r="I652" s="111"/>
      <c r="J652" s="115"/>
      <c r="K652" s="107"/>
      <c r="L652" s="49"/>
      <c r="M652" s="107"/>
      <c r="N652" s="116"/>
    </row>
    <row r="653">
      <c r="C653" s="107"/>
      <c r="D653" s="108"/>
      <c r="E653" s="114"/>
      <c r="F653" s="107"/>
      <c r="H653" s="111"/>
      <c r="I653" s="111"/>
      <c r="J653" s="115"/>
      <c r="K653" s="107"/>
      <c r="L653" s="49"/>
      <c r="M653" s="107"/>
      <c r="N653" s="116"/>
    </row>
    <row r="654">
      <c r="C654" s="107"/>
      <c r="D654" s="108"/>
      <c r="E654" s="114"/>
      <c r="F654" s="107"/>
      <c r="H654" s="111"/>
      <c r="I654" s="111"/>
      <c r="J654" s="115"/>
      <c r="K654" s="107"/>
      <c r="L654" s="49"/>
      <c r="M654" s="107"/>
      <c r="N654" s="116"/>
    </row>
    <row r="655">
      <c r="C655" s="107"/>
      <c r="D655" s="108"/>
      <c r="E655" s="114"/>
      <c r="F655" s="107"/>
      <c r="H655" s="111"/>
      <c r="I655" s="111"/>
      <c r="J655" s="115"/>
      <c r="K655" s="107"/>
      <c r="L655" s="49"/>
      <c r="M655" s="107"/>
      <c r="N655" s="116"/>
    </row>
    <row r="656">
      <c r="C656" s="107"/>
      <c r="D656" s="108"/>
      <c r="E656" s="114"/>
      <c r="F656" s="107"/>
      <c r="H656" s="111"/>
      <c r="I656" s="111"/>
      <c r="J656" s="115"/>
      <c r="K656" s="107"/>
      <c r="L656" s="49"/>
      <c r="M656" s="107"/>
      <c r="N656" s="116"/>
    </row>
    <row r="657">
      <c r="C657" s="107"/>
      <c r="D657" s="108"/>
      <c r="E657" s="114"/>
      <c r="F657" s="107"/>
      <c r="H657" s="111"/>
      <c r="I657" s="111"/>
      <c r="J657" s="115"/>
      <c r="K657" s="107"/>
      <c r="L657" s="49"/>
      <c r="M657" s="107"/>
      <c r="N657" s="116"/>
    </row>
    <row r="658">
      <c r="C658" s="107"/>
      <c r="D658" s="108"/>
      <c r="E658" s="114"/>
      <c r="F658" s="107"/>
      <c r="H658" s="111"/>
      <c r="I658" s="111"/>
      <c r="J658" s="115"/>
      <c r="K658" s="107"/>
      <c r="L658" s="49"/>
      <c r="M658" s="107"/>
      <c r="N658" s="116"/>
    </row>
    <row r="659">
      <c r="C659" s="107"/>
      <c r="D659" s="108"/>
      <c r="E659" s="114"/>
      <c r="F659" s="107"/>
      <c r="H659" s="111"/>
      <c r="I659" s="111"/>
      <c r="J659" s="115"/>
      <c r="K659" s="107"/>
      <c r="L659" s="49"/>
      <c r="M659" s="107"/>
      <c r="N659" s="116"/>
    </row>
    <row r="660">
      <c r="C660" s="107"/>
      <c r="D660" s="108"/>
      <c r="E660" s="114"/>
      <c r="F660" s="107"/>
      <c r="H660" s="111"/>
      <c r="I660" s="111"/>
      <c r="J660" s="115"/>
      <c r="K660" s="107"/>
      <c r="L660" s="49"/>
      <c r="M660" s="107"/>
      <c r="N660" s="116"/>
    </row>
    <row r="661">
      <c r="C661" s="107"/>
      <c r="D661" s="108"/>
      <c r="E661" s="114"/>
      <c r="F661" s="107"/>
      <c r="H661" s="111"/>
      <c r="I661" s="111"/>
      <c r="J661" s="115"/>
      <c r="K661" s="107"/>
      <c r="L661" s="49"/>
      <c r="M661" s="107"/>
      <c r="N661" s="116"/>
    </row>
    <row r="662">
      <c r="C662" s="107"/>
      <c r="D662" s="108"/>
      <c r="E662" s="114"/>
      <c r="F662" s="107"/>
      <c r="H662" s="111"/>
      <c r="I662" s="111"/>
      <c r="J662" s="115"/>
      <c r="K662" s="107"/>
      <c r="L662" s="49"/>
      <c r="M662" s="107"/>
      <c r="N662" s="116"/>
    </row>
    <row r="663">
      <c r="C663" s="107"/>
      <c r="D663" s="108"/>
      <c r="E663" s="114"/>
      <c r="F663" s="107"/>
      <c r="H663" s="111"/>
      <c r="I663" s="111"/>
      <c r="J663" s="115"/>
      <c r="K663" s="107"/>
      <c r="L663" s="49"/>
      <c r="M663" s="107"/>
      <c r="N663" s="116"/>
    </row>
    <row r="664">
      <c r="C664" s="107"/>
      <c r="D664" s="108"/>
      <c r="E664" s="114"/>
      <c r="F664" s="107"/>
      <c r="H664" s="111"/>
      <c r="I664" s="111"/>
      <c r="J664" s="115"/>
      <c r="K664" s="107"/>
      <c r="L664" s="49"/>
      <c r="M664" s="107"/>
      <c r="N664" s="116"/>
    </row>
    <row r="665">
      <c r="C665" s="107"/>
      <c r="D665" s="108"/>
      <c r="E665" s="114"/>
      <c r="F665" s="107"/>
      <c r="H665" s="111"/>
      <c r="I665" s="111"/>
      <c r="J665" s="115"/>
      <c r="K665" s="107"/>
      <c r="L665" s="49"/>
      <c r="M665" s="107"/>
      <c r="N665" s="116"/>
    </row>
    <row r="666">
      <c r="C666" s="107"/>
      <c r="D666" s="108"/>
      <c r="E666" s="114"/>
      <c r="F666" s="107"/>
      <c r="H666" s="111"/>
      <c r="I666" s="111"/>
      <c r="J666" s="115"/>
      <c r="K666" s="107"/>
      <c r="L666" s="49"/>
      <c r="M666" s="107"/>
      <c r="N666" s="116"/>
    </row>
    <row r="667">
      <c r="C667" s="107"/>
      <c r="D667" s="108"/>
      <c r="E667" s="114"/>
      <c r="F667" s="107"/>
      <c r="H667" s="111"/>
      <c r="I667" s="111"/>
      <c r="J667" s="115"/>
      <c r="K667" s="107"/>
      <c r="L667" s="49"/>
      <c r="M667" s="107"/>
      <c r="N667" s="116"/>
    </row>
    <row r="668">
      <c r="C668" s="107"/>
      <c r="D668" s="108"/>
      <c r="E668" s="114"/>
      <c r="F668" s="107"/>
      <c r="H668" s="111"/>
      <c r="I668" s="111"/>
      <c r="J668" s="115"/>
      <c r="K668" s="107"/>
      <c r="L668" s="49"/>
      <c r="M668" s="107"/>
      <c r="N668" s="116"/>
    </row>
    <row r="669">
      <c r="C669" s="107"/>
      <c r="D669" s="108"/>
      <c r="E669" s="114"/>
      <c r="F669" s="107"/>
      <c r="H669" s="111"/>
      <c r="I669" s="111"/>
      <c r="J669" s="115"/>
      <c r="K669" s="107"/>
      <c r="L669" s="49"/>
      <c r="M669" s="107"/>
      <c r="N669" s="116"/>
    </row>
    <row r="670">
      <c r="C670" s="107"/>
      <c r="D670" s="108"/>
      <c r="E670" s="114"/>
      <c r="F670" s="107"/>
      <c r="H670" s="111"/>
      <c r="I670" s="111"/>
      <c r="J670" s="115"/>
      <c r="K670" s="107"/>
      <c r="L670" s="49"/>
      <c r="M670" s="107"/>
      <c r="N670" s="116"/>
    </row>
    <row r="671">
      <c r="C671" s="107"/>
      <c r="D671" s="108"/>
      <c r="E671" s="114"/>
      <c r="F671" s="107"/>
      <c r="H671" s="111"/>
      <c r="I671" s="111"/>
      <c r="J671" s="115"/>
      <c r="K671" s="107"/>
      <c r="L671" s="49"/>
      <c r="M671" s="107"/>
      <c r="N671" s="116"/>
    </row>
    <row r="672">
      <c r="C672" s="107"/>
      <c r="D672" s="108"/>
      <c r="E672" s="114"/>
      <c r="F672" s="107"/>
      <c r="H672" s="111"/>
      <c r="I672" s="111"/>
      <c r="J672" s="115"/>
      <c r="K672" s="107"/>
      <c r="L672" s="49"/>
      <c r="M672" s="107"/>
      <c r="N672" s="116"/>
    </row>
    <row r="673">
      <c r="C673" s="107"/>
      <c r="D673" s="108"/>
      <c r="E673" s="114"/>
      <c r="F673" s="107"/>
      <c r="H673" s="111"/>
      <c r="I673" s="111"/>
      <c r="J673" s="115"/>
      <c r="K673" s="107"/>
      <c r="L673" s="49"/>
      <c r="M673" s="107"/>
      <c r="N673" s="116"/>
    </row>
    <row r="674">
      <c r="C674" s="107"/>
      <c r="D674" s="108"/>
      <c r="E674" s="114"/>
      <c r="F674" s="107"/>
      <c r="H674" s="111"/>
      <c r="I674" s="111"/>
      <c r="J674" s="115"/>
      <c r="K674" s="107"/>
      <c r="L674" s="49"/>
      <c r="M674" s="107"/>
      <c r="N674" s="116"/>
    </row>
    <row r="675">
      <c r="C675" s="107"/>
      <c r="D675" s="108"/>
      <c r="E675" s="114"/>
      <c r="F675" s="107"/>
      <c r="H675" s="111"/>
      <c r="I675" s="111"/>
      <c r="J675" s="115"/>
      <c r="K675" s="107"/>
      <c r="L675" s="49"/>
      <c r="M675" s="107"/>
      <c r="N675" s="116"/>
    </row>
    <row r="676">
      <c r="C676" s="107"/>
      <c r="D676" s="108"/>
      <c r="E676" s="114"/>
      <c r="F676" s="107"/>
      <c r="H676" s="111"/>
      <c r="I676" s="111"/>
      <c r="J676" s="115"/>
      <c r="K676" s="107"/>
      <c r="L676" s="49"/>
      <c r="M676" s="107"/>
      <c r="N676" s="116"/>
    </row>
    <row r="677">
      <c r="C677" s="107"/>
      <c r="D677" s="108"/>
      <c r="E677" s="114"/>
      <c r="F677" s="107"/>
      <c r="H677" s="111"/>
      <c r="I677" s="111"/>
      <c r="J677" s="115"/>
      <c r="K677" s="107"/>
      <c r="L677" s="49"/>
      <c r="M677" s="107"/>
      <c r="N677" s="116"/>
    </row>
    <row r="678">
      <c r="C678" s="107"/>
      <c r="D678" s="108"/>
      <c r="E678" s="114"/>
      <c r="F678" s="107"/>
      <c r="H678" s="111"/>
      <c r="I678" s="111"/>
      <c r="J678" s="115"/>
      <c r="K678" s="107"/>
      <c r="L678" s="49"/>
      <c r="M678" s="107"/>
      <c r="N678" s="116"/>
    </row>
    <row r="679">
      <c r="C679" s="107"/>
      <c r="D679" s="108"/>
      <c r="E679" s="114"/>
      <c r="F679" s="107"/>
      <c r="H679" s="111"/>
      <c r="I679" s="111"/>
      <c r="J679" s="115"/>
      <c r="K679" s="107"/>
      <c r="L679" s="49"/>
      <c r="M679" s="107"/>
      <c r="N679" s="116"/>
    </row>
    <row r="680">
      <c r="C680" s="107"/>
      <c r="D680" s="108"/>
      <c r="E680" s="114"/>
      <c r="F680" s="107"/>
      <c r="H680" s="111"/>
      <c r="I680" s="111"/>
      <c r="J680" s="115"/>
      <c r="K680" s="107"/>
      <c r="L680" s="49"/>
      <c r="M680" s="107"/>
      <c r="N680" s="116"/>
    </row>
    <row r="681">
      <c r="C681" s="107"/>
      <c r="D681" s="108"/>
      <c r="E681" s="114"/>
      <c r="F681" s="107"/>
      <c r="H681" s="111"/>
      <c r="I681" s="111"/>
      <c r="J681" s="115"/>
      <c r="K681" s="107"/>
      <c r="L681" s="49"/>
      <c r="M681" s="107"/>
      <c r="N681" s="116"/>
    </row>
    <row r="682">
      <c r="C682" s="107"/>
      <c r="D682" s="108"/>
      <c r="E682" s="114"/>
      <c r="F682" s="107"/>
      <c r="H682" s="111"/>
      <c r="I682" s="111"/>
      <c r="J682" s="115"/>
      <c r="K682" s="107"/>
      <c r="L682" s="49"/>
      <c r="M682" s="107"/>
      <c r="N682" s="116"/>
    </row>
    <row r="683">
      <c r="C683" s="107"/>
      <c r="D683" s="108"/>
      <c r="E683" s="114"/>
      <c r="F683" s="107"/>
      <c r="H683" s="111"/>
      <c r="I683" s="111"/>
      <c r="J683" s="115"/>
      <c r="K683" s="107"/>
      <c r="L683" s="49"/>
      <c r="M683" s="107"/>
      <c r="N683" s="116"/>
    </row>
    <row r="684">
      <c r="C684" s="107"/>
      <c r="D684" s="108"/>
      <c r="E684" s="114"/>
      <c r="F684" s="107"/>
      <c r="H684" s="111"/>
      <c r="I684" s="111"/>
      <c r="J684" s="115"/>
      <c r="K684" s="107"/>
      <c r="L684" s="49"/>
      <c r="M684" s="107"/>
      <c r="N684" s="116"/>
    </row>
    <row r="685">
      <c r="C685" s="107"/>
      <c r="D685" s="108"/>
      <c r="E685" s="114"/>
      <c r="F685" s="107"/>
      <c r="H685" s="111"/>
      <c r="I685" s="111"/>
      <c r="J685" s="115"/>
      <c r="K685" s="107"/>
      <c r="L685" s="49"/>
      <c r="M685" s="107"/>
      <c r="N685" s="116"/>
    </row>
    <row r="686">
      <c r="C686" s="107"/>
      <c r="D686" s="108"/>
      <c r="E686" s="114"/>
      <c r="F686" s="107"/>
      <c r="H686" s="111"/>
      <c r="I686" s="111"/>
      <c r="J686" s="115"/>
      <c r="K686" s="107"/>
      <c r="L686" s="49"/>
      <c r="M686" s="107"/>
      <c r="N686" s="116"/>
    </row>
    <row r="687">
      <c r="C687" s="107"/>
      <c r="D687" s="108"/>
      <c r="E687" s="114"/>
      <c r="F687" s="107"/>
      <c r="H687" s="111"/>
      <c r="I687" s="111"/>
      <c r="J687" s="115"/>
      <c r="K687" s="107"/>
      <c r="L687" s="49"/>
      <c r="M687" s="107"/>
      <c r="N687" s="116"/>
    </row>
    <row r="688">
      <c r="C688" s="107"/>
      <c r="D688" s="108"/>
      <c r="E688" s="114"/>
      <c r="F688" s="107"/>
      <c r="H688" s="111"/>
      <c r="I688" s="111"/>
      <c r="J688" s="115"/>
      <c r="K688" s="107"/>
      <c r="L688" s="49"/>
      <c r="M688" s="107"/>
      <c r="N688" s="116"/>
    </row>
    <row r="689">
      <c r="C689" s="107"/>
      <c r="D689" s="108"/>
      <c r="E689" s="114"/>
      <c r="F689" s="107"/>
      <c r="H689" s="111"/>
      <c r="I689" s="111"/>
      <c r="J689" s="115"/>
      <c r="K689" s="107"/>
      <c r="L689" s="49"/>
      <c r="M689" s="107"/>
      <c r="N689" s="116"/>
    </row>
    <row r="690">
      <c r="C690" s="107"/>
      <c r="D690" s="108"/>
      <c r="E690" s="114"/>
      <c r="F690" s="107"/>
      <c r="H690" s="111"/>
      <c r="I690" s="111"/>
      <c r="J690" s="115"/>
      <c r="K690" s="107"/>
      <c r="L690" s="49"/>
      <c r="M690" s="107"/>
      <c r="N690" s="116"/>
    </row>
    <row r="691">
      <c r="C691" s="107"/>
      <c r="D691" s="108"/>
      <c r="E691" s="114"/>
      <c r="F691" s="107"/>
      <c r="H691" s="111"/>
      <c r="I691" s="111"/>
      <c r="J691" s="115"/>
      <c r="K691" s="107"/>
      <c r="L691" s="49"/>
      <c r="M691" s="107"/>
      <c r="N691" s="116"/>
    </row>
    <row r="692">
      <c r="C692" s="107"/>
      <c r="D692" s="108"/>
      <c r="E692" s="114"/>
      <c r="F692" s="107"/>
      <c r="H692" s="111"/>
      <c r="I692" s="111"/>
      <c r="J692" s="115"/>
      <c r="K692" s="107"/>
      <c r="L692" s="49"/>
      <c r="M692" s="107"/>
      <c r="N692" s="116"/>
    </row>
    <row r="693">
      <c r="C693" s="107"/>
      <c r="D693" s="108"/>
      <c r="E693" s="114"/>
      <c r="F693" s="107"/>
      <c r="H693" s="111"/>
      <c r="I693" s="111"/>
      <c r="J693" s="115"/>
      <c r="K693" s="107"/>
      <c r="L693" s="49"/>
      <c r="M693" s="107"/>
      <c r="N693" s="116"/>
    </row>
    <row r="694">
      <c r="C694" s="107"/>
      <c r="D694" s="108"/>
      <c r="E694" s="114"/>
      <c r="F694" s="107"/>
      <c r="H694" s="111"/>
      <c r="I694" s="111"/>
      <c r="J694" s="115"/>
      <c r="K694" s="107"/>
      <c r="L694" s="49"/>
      <c r="M694" s="107"/>
      <c r="N694" s="116"/>
    </row>
    <row r="695">
      <c r="C695" s="107"/>
      <c r="D695" s="108"/>
      <c r="E695" s="114"/>
      <c r="F695" s="107"/>
      <c r="H695" s="111"/>
      <c r="I695" s="111"/>
      <c r="J695" s="115"/>
      <c r="K695" s="107"/>
      <c r="L695" s="49"/>
      <c r="M695" s="107"/>
      <c r="N695" s="116"/>
    </row>
    <row r="696">
      <c r="C696" s="107"/>
      <c r="D696" s="108"/>
      <c r="E696" s="114"/>
      <c r="F696" s="107"/>
      <c r="H696" s="111"/>
      <c r="I696" s="111"/>
      <c r="J696" s="115"/>
      <c r="K696" s="107"/>
      <c r="L696" s="49"/>
      <c r="M696" s="107"/>
      <c r="N696" s="116"/>
    </row>
    <row r="697">
      <c r="C697" s="107"/>
      <c r="D697" s="108"/>
      <c r="E697" s="114"/>
      <c r="F697" s="107"/>
      <c r="H697" s="111"/>
      <c r="I697" s="111"/>
      <c r="J697" s="115"/>
      <c r="K697" s="107"/>
      <c r="L697" s="49"/>
      <c r="M697" s="107"/>
      <c r="N697" s="116"/>
    </row>
    <row r="698">
      <c r="C698" s="107"/>
      <c r="D698" s="108"/>
      <c r="E698" s="114"/>
      <c r="F698" s="107"/>
      <c r="H698" s="111"/>
      <c r="I698" s="111"/>
      <c r="J698" s="115"/>
      <c r="K698" s="107"/>
      <c r="L698" s="49"/>
      <c r="M698" s="107"/>
      <c r="N698" s="116"/>
    </row>
    <row r="699">
      <c r="C699" s="107"/>
      <c r="D699" s="108"/>
      <c r="E699" s="114"/>
      <c r="F699" s="107"/>
      <c r="H699" s="111"/>
      <c r="I699" s="111"/>
      <c r="J699" s="115"/>
      <c r="K699" s="107"/>
      <c r="L699" s="49"/>
      <c r="M699" s="107"/>
      <c r="N699" s="116"/>
    </row>
    <row r="700">
      <c r="C700" s="107"/>
      <c r="D700" s="108"/>
      <c r="E700" s="114"/>
      <c r="F700" s="107"/>
      <c r="H700" s="111"/>
      <c r="I700" s="111"/>
      <c r="J700" s="115"/>
      <c r="K700" s="107"/>
      <c r="L700" s="49"/>
      <c r="M700" s="107"/>
      <c r="N700" s="116"/>
    </row>
    <row r="701">
      <c r="C701" s="107"/>
      <c r="D701" s="108"/>
      <c r="E701" s="114"/>
      <c r="F701" s="107"/>
      <c r="H701" s="111"/>
      <c r="I701" s="111"/>
      <c r="J701" s="115"/>
      <c r="K701" s="107"/>
      <c r="L701" s="49"/>
      <c r="M701" s="107"/>
      <c r="N701" s="116"/>
    </row>
    <row r="702">
      <c r="C702" s="107"/>
      <c r="D702" s="108"/>
      <c r="E702" s="114"/>
      <c r="F702" s="107"/>
      <c r="H702" s="111"/>
      <c r="I702" s="111"/>
      <c r="J702" s="115"/>
      <c r="K702" s="107"/>
      <c r="L702" s="49"/>
      <c r="M702" s="107"/>
      <c r="N702" s="116"/>
    </row>
    <row r="703">
      <c r="C703" s="107"/>
      <c r="D703" s="108"/>
      <c r="E703" s="114"/>
      <c r="F703" s="107"/>
      <c r="H703" s="111"/>
      <c r="I703" s="111"/>
      <c r="J703" s="115"/>
      <c r="K703" s="107"/>
      <c r="L703" s="49"/>
      <c r="M703" s="107"/>
      <c r="N703" s="116"/>
    </row>
    <row r="704">
      <c r="C704" s="107"/>
      <c r="D704" s="108"/>
      <c r="E704" s="114"/>
      <c r="F704" s="107"/>
      <c r="H704" s="111"/>
      <c r="I704" s="111"/>
      <c r="J704" s="115"/>
      <c r="K704" s="107"/>
      <c r="L704" s="49"/>
      <c r="M704" s="107"/>
      <c r="N704" s="116"/>
    </row>
    <row r="705">
      <c r="C705" s="107"/>
      <c r="D705" s="108"/>
      <c r="E705" s="114"/>
      <c r="F705" s="107"/>
      <c r="H705" s="111"/>
      <c r="I705" s="111"/>
      <c r="J705" s="115"/>
      <c r="K705" s="107"/>
      <c r="L705" s="49"/>
      <c r="M705" s="107"/>
      <c r="N705" s="116"/>
    </row>
    <row r="706">
      <c r="C706" s="107"/>
      <c r="D706" s="108"/>
      <c r="E706" s="114"/>
      <c r="F706" s="107"/>
      <c r="H706" s="111"/>
      <c r="I706" s="111"/>
      <c r="J706" s="115"/>
      <c r="K706" s="107"/>
      <c r="L706" s="49"/>
      <c r="M706" s="107"/>
      <c r="N706" s="116"/>
    </row>
    <row r="707">
      <c r="C707" s="107"/>
      <c r="D707" s="108"/>
      <c r="E707" s="114"/>
      <c r="F707" s="107"/>
      <c r="H707" s="111"/>
      <c r="I707" s="111"/>
      <c r="J707" s="115"/>
      <c r="K707" s="107"/>
      <c r="L707" s="49"/>
      <c r="M707" s="107"/>
      <c r="N707" s="116"/>
    </row>
    <row r="708">
      <c r="C708" s="107"/>
      <c r="D708" s="108"/>
      <c r="E708" s="114"/>
      <c r="F708" s="107"/>
      <c r="H708" s="111"/>
      <c r="I708" s="111"/>
      <c r="J708" s="115"/>
      <c r="K708" s="107"/>
      <c r="L708" s="49"/>
      <c r="M708" s="107"/>
      <c r="N708" s="116"/>
    </row>
    <row r="709">
      <c r="C709" s="107"/>
      <c r="D709" s="108"/>
      <c r="E709" s="114"/>
      <c r="F709" s="107"/>
      <c r="H709" s="111"/>
      <c r="I709" s="111"/>
      <c r="J709" s="115"/>
      <c r="K709" s="107"/>
      <c r="L709" s="49"/>
      <c r="M709" s="107"/>
      <c r="N709" s="116"/>
    </row>
    <row r="710">
      <c r="C710" s="107"/>
      <c r="D710" s="108"/>
      <c r="E710" s="114"/>
      <c r="F710" s="107"/>
      <c r="H710" s="111"/>
      <c r="I710" s="111"/>
      <c r="J710" s="115"/>
      <c r="K710" s="107"/>
      <c r="L710" s="49"/>
      <c r="M710" s="107"/>
      <c r="N710" s="116"/>
    </row>
    <row r="711">
      <c r="C711" s="107"/>
      <c r="D711" s="108"/>
      <c r="E711" s="114"/>
      <c r="F711" s="107"/>
      <c r="H711" s="111"/>
      <c r="I711" s="111"/>
      <c r="J711" s="115"/>
      <c r="K711" s="107"/>
      <c r="L711" s="49"/>
      <c r="M711" s="107"/>
      <c r="N711" s="116"/>
    </row>
    <row r="712">
      <c r="C712" s="107"/>
      <c r="D712" s="108"/>
      <c r="E712" s="114"/>
      <c r="F712" s="107"/>
      <c r="H712" s="111"/>
      <c r="I712" s="111"/>
      <c r="J712" s="115"/>
      <c r="K712" s="107"/>
      <c r="L712" s="49"/>
      <c r="M712" s="107"/>
      <c r="N712" s="116"/>
    </row>
    <row r="713">
      <c r="C713" s="107"/>
      <c r="D713" s="108"/>
      <c r="E713" s="114"/>
      <c r="F713" s="107"/>
      <c r="H713" s="111"/>
      <c r="I713" s="111"/>
      <c r="J713" s="115"/>
      <c r="K713" s="107"/>
      <c r="L713" s="49"/>
      <c r="M713" s="107"/>
      <c r="N713" s="116"/>
    </row>
    <row r="714">
      <c r="C714" s="107"/>
      <c r="D714" s="108"/>
      <c r="E714" s="114"/>
      <c r="F714" s="107"/>
      <c r="H714" s="111"/>
      <c r="I714" s="111"/>
      <c r="J714" s="115"/>
      <c r="K714" s="107"/>
      <c r="L714" s="49"/>
      <c r="M714" s="107"/>
      <c r="N714" s="116"/>
    </row>
    <row r="715">
      <c r="C715" s="107"/>
      <c r="D715" s="108"/>
      <c r="E715" s="114"/>
      <c r="F715" s="107"/>
      <c r="H715" s="111"/>
      <c r="I715" s="111"/>
      <c r="J715" s="115"/>
      <c r="K715" s="107"/>
      <c r="L715" s="49"/>
      <c r="M715" s="107"/>
      <c r="N715" s="116"/>
    </row>
    <row r="716">
      <c r="C716" s="107"/>
      <c r="D716" s="108"/>
      <c r="E716" s="114"/>
      <c r="F716" s="107"/>
      <c r="H716" s="111"/>
      <c r="I716" s="111"/>
      <c r="J716" s="115"/>
      <c r="K716" s="107"/>
      <c r="L716" s="49"/>
      <c r="M716" s="107"/>
      <c r="N716" s="116"/>
    </row>
    <row r="717">
      <c r="C717" s="107"/>
      <c r="D717" s="108"/>
      <c r="E717" s="114"/>
      <c r="F717" s="107"/>
      <c r="H717" s="111"/>
      <c r="I717" s="111"/>
      <c r="J717" s="115"/>
      <c r="K717" s="107"/>
      <c r="L717" s="49"/>
      <c r="M717" s="107"/>
      <c r="N717" s="116"/>
    </row>
    <row r="718">
      <c r="C718" s="107"/>
      <c r="D718" s="108"/>
      <c r="E718" s="114"/>
      <c r="F718" s="107"/>
      <c r="H718" s="111"/>
      <c r="I718" s="111"/>
      <c r="J718" s="115"/>
      <c r="K718" s="107"/>
      <c r="L718" s="49"/>
      <c r="M718" s="107"/>
      <c r="N718" s="116"/>
    </row>
    <row r="719">
      <c r="C719" s="107"/>
      <c r="D719" s="108"/>
      <c r="E719" s="114"/>
      <c r="F719" s="107"/>
      <c r="H719" s="111"/>
      <c r="I719" s="111"/>
      <c r="J719" s="115"/>
      <c r="K719" s="107"/>
      <c r="L719" s="49"/>
      <c r="M719" s="107"/>
      <c r="N719" s="116"/>
    </row>
    <row r="720">
      <c r="C720" s="107"/>
      <c r="D720" s="108"/>
      <c r="E720" s="114"/>
      <c r="F720" s="107"/>
      <c r="H720" s="111"/>
      <c r="I720" s="111"/>
      <c r="J720" s="115"/>
      <c r="K720" s="107"/>
      <c r="L720" s="49"/>
      <c r="M720" s="107"/>
      <c r="N720" s="116"/>
    </row>
    <row r="721">
      <c r="C721" s="107"/>
      <c r="D721" s="108"/>
      <c r="E721" s="114"/>
      <c r="F721" s="107"/>
      <c r="H721" s="111"/>
      <c r="I721" s="111"/>
      <c r="J721" s="115"/>
      <c r="K721" s="107"/>
      <c r="L721" s="49"/>
      <c r="M721" s="107"/>
      <c r="N721" s="116"/>
    </row>
    <row r="722">
      <c r="C722" s="107"/>
      <c r="D722" s="108"/>
      <c r="E722" s="114"/>
      <c r="F722" s="107"/>
      <c r="H722" s="111"/>
      <c r="I722" s="111"/>
      <c r="J722" s="115"/>
      <c r="K722" s="107"/>
      <c r="L722" s="49"/>
      <c r="M722" s="107"/>
      <c r="N722" s="116"/>
    </row>
    <row r="723">
      <c r="C723" s="107"/>
      <c r="D723" s="108"/>
      <c r="E723" s="114"/>
      <c r="F723" s="107"/>
      <c r="H723" s="111"/>
      <c r="I723" s="111"/>
      <c r="J723" s="115"/>
      <c r="K723" s="107"/>
      <c r="L723" s="49"/>
      <c r="M723" s="107"/>
      <c r="N723" s="116"/>
    </row>
    <row r="724">
      <c r="C724" s="107"/>
      <c r="D724" s="108"/>
      <c r="E724" s="114"/>
      <c r="F724" s="107"/>
      <c r="H724" s="111"/>
      <c r="I724" s="111"/>
      <c r="J724" s="115"/>
      <c r="K724" s="107"/>
      <c r="L724" s="49"/>
      <c r="M724" s="107"/>
      <c r="N724" s="116"/>
    </row>
    <row r="725">
      <c r="C725" s="107"/>
      <c r="D725" s="108"/>
      <c r="E725" s="114"/>
      <c r="F725" s="107"/>
      <c r="H725" s="111"/>
      <c r="I725" s="111"/>
      <c r="J725" s="115"/>
      <c r="K725" s="107"/>
      <c r="L725" s="49"/>
      <c r="M725" s="107"/>
      <c r="N725" s="116"/>
    </row>
    <row r="726">
      <c r="C726" s="107"/>
      <c r="D726" s="108"/>
      <c r="E726" s="114"/>
      <c r="F726" s="107"/>
      <c r="H726" s="111"/>
      <c r="I726" s="111"/>
      <c r="J726" s="115"/>
      <c r="K726" s="107"/>
      <c r="L726" s="49"/>
      <c r="M726" s="107"/>
      <c r="N726" s="116"/>
    </row>
    <row r="727">
      <c r="C727" s="107"/>
      <c r="D727" s="108"/>
      <c r="E727" s="114"/>
      <c r="F727" s="107"/>
      <c r="H727" s="111"/>
      <c r="I727" s="111"/>
      <c r="J727" s="115"/>
      <c r="K727" s="107"/>
      <c r="L727" s="49"/>
      <c r="M727" s="107"/>
      <c r="N727" s="116"/>
    </row>
    <row r="728">
      <c r="C728" s="107"/>
      <c r="D728" s="108"/>
      <c r="E728" s="114"/>
      <c r="F728" s="107"/>
      <c r="H728" s="111"/>
      <c r="I728" s="111"/>
      <c r="J728" s="115"/>
      <c r="K728" s="107"/>
      <c r="L728" s="49"/>
      <c r="M728" s="107"/>
      <c r="N728" s="116"/>
    </row>
    <row r="729">
      <c r="C729" s="107"/>
      <c r="D729" s="108"/>
      <c r="E729" s="114"/>
      <c r="F729" s="107"/>
      <c r="H729" s="111"/>
      <c r="I729" s="111"/>
      <c r="J729" s="115"/>
      <c r="K729" s="107"/>
      <c r="L729" s="49"/>
      <c r="M729" s="107"/>
      <c r="N729" s="116"/>
    </row>
    <row r="730">
      <c r="C730" s="107"/>
      <c r="D730" s="108"/>
      <c r="E730" s="114"/>
      <c r="F730" s="107"/>
      <c r="H730" s="111"/>
      <c r="I730" s="111"/>
      <c r="J730" s="115"/>
      <c r="K730" s="107"/>
      <c r="L730" s="49"/>
      <c r="M730" s="107"/>
      <c r="N730" s="116"/>
    </row>
    <row r="731">
      <c r="C731" s="107"/>
      <c r="D731" s="108"/>
      <c r="E731" s="114"/>
      <c r="F731" s="107"/>
      <c r="H731" s="111"/>
      <c r="I731" s="111"/>
      <c r="J731" s="115"/>
      <c r="K731" s="107"/>
      <c r="L731" s="49"/>
      <c r="M731" s="107"/>
      <c r="N731" s="116"/>
    </row>
    <row r="732">
      <c r="C732" s="107"/>
      <c r="D732" s="108"/>
      <c r="E732" s="114"/>
      <c r="F732" s="107"/>
      <c r="H732" s="111"/>
      <c r="I732" s="111"/>
      <c r="J732" s="115"/>
      <c r="K732" s="107"/>
      <c r="L732" s="49"/>
      <c r="M732" s="107"/>
      <c r="N732" s="116"/>
    </row>
    <row r="733">
      <c r="C733" s="107"/>
      <c r="D733" s="108"/>
      <c r="E733" s="114"/>
      <c r="F733" s="107"/>
      <c r="H733" s="111"/>
      <c r="I733" s="111"/>
      <c r="J733" s="115"/>
      <c r="K733" s="107"/>
      <c r="L733" s="49"/>
      <c r="M733" s="107"/>
      <c r="N733" s="116"/>
    </row>
    <row r="734">
      <c r="C734" s="107"/>
      <c r="D734" s="108"/>
      <c r="E734" s="114"/>
      <c r="F734" s="107"/>
      <c r="H734" s="111"/>
      <c r="I734" s="111"/>
      <c r="J734" s="115"/>
      <c r="K734" s="107"/>
      <c r="L734" s="49"/>
      <c r="M734" s="107"/>
      <c r="N734" s="116"/>
    </row>
    <row r="735">
      <c r="C735" s="107"/>
      <c r="D735" s="108"/>
      <c r="E735" s="114"/>
      <c r="F735" s="107"/>
      <c r="H735" s="111"/>
      <c r="I735" s="111"/>
      <c r="J735" s="115"/>
      <c r="K735" s="107"/>
      <c r="L735" s="49"/>
      <c r="M735" s="107"/>
      <c r="N735" s="116"/>
    </row>
    <row r="736">
      <c r="C736" s="107"/>
      <c r="D736" s="108"/>
      <c r="E736" s="114"/>
      <c r="F736" s="107"/>
      <c r="H736" s="111"/>
      <c r="I736" s="111"/>
      <c r="J736" s="115"/>
      <c r="K736" s="107"/>
      <c r="L736" s="49"/>
      <c r="M736" s="107"/>
      <c r="N736" s="116"/>
    </row>
    <row r="737">
      <c r="C737" s="107"/>
      <c r="D737" s="108"/>
      <c r="E737" s="114"/>
      <c r="F737" s="107"/>
      <c r="H737" s="111"/>
      <c r="I737" s="111"/>
      <c r="J737" s="115"/>
      <c r="K737" s="107"/>
      <c r="L737" s="49"/>
      <c r="M737" s="107"/>
      <c r="N737" s="116"/>
    </row>
    <row r="738">
      <c r="C738" s="107"/>
      <c r="D738" s="108"/>
      <c r="E738" s="114"/>
      <c r="F738" s="107"/>
      <c r="H738" s="111"/>
      <c r="I738" s="111"/>
      <c r="J738" s="115"/>
      <c r="K738" s="107"/>
      <c r="L738" s="49"/>
      <c r="M738" s="107"/>
      <c r="N738" s="116"/>
    </row>
    <row r="739">
      <c r="C739" s="107"/>
      <c r="D739" s="108"/>
      <c r="E739" s="114"/>
      <c r="F739" s="107"/>
      <c r="H739" s="111"/>
      <c r="I739" s="111"/>
      <c r="J739" s="115"/>
      <c r="K739" s="107"/>
      <c r="L739" s="49"/>
      <c r="M739" s="107"/>
      <c r="N739" s="116"/>
    </row>
    <row r="740">
      <c r="C740" s="107"/>
      <c r="D740" s="108"/>
      <c r="E740" s="114"/>
      <c r="F740" s="107"/>
      <c r="H740" s="111"/>
      <c r="I740" s="111"/>
      <c r="J740" s="115"/>
      <c r="K740" s="107"/>
      <c r="L740" s="49"/>
      <c r="M740" s="107"/>
      <c r="N740" s="116"/>
    </row>
    <row r="741">
      <c r="C741" s="107"/>
      <c r="D741" s="108"/>
      <c r="E741" s="114"/>
      <c r="F741" s="107"/>
      <c r="H741" s="111"/>
      <c r="I741" s="111"/>
      <c r="J741" s="115"/>
      <c r="K741" s="107"/>
      <c r="L741" s="49"/>
      <c r="M741" s="107"/>
      <c r="N741" s="116"/>
    </row>
    <row r="742">
      <c r="C742" s="107"/>
      <c r="D742" s="108"/>
      <c r="E742" s="114"/>
      <c r="F742" s="107"/>
      <c r="H742" s="111"/>
      <c r="I742" s="111"/>
      <c r="J742" s="115"/>
      <c r="K742" s="107"/>
      <c r="L742" s="49"/>
      <c r="M742" s="107"/>
      <c r="N742" s="116"/>
    </row>
    <row r="743">
      <c r="C743" s="107"/>
      <c r="D743" s="108"/>
      <c r="E743" s="114"/>
      <c r="F743" s="107"/>
      <c r="H743" s="111"/>
      <c r="I743" s="111"/>
      <c r="J743" s="115"/>
      <c r="K743" s="107"/>
      <c r="L743" s="49"/>
      <c r="M743" s="107"/>
      <c r="N743" s="116"/>
    </row>
    <row r="744">
      <c r="C744" s="107"/>
      <c r="D744" s="108"/>
      <c r="E744" s="114"/>
      <c r="F744" s="107"/>
      <c r="H744" s="111"/>
      <c r="I744" s="111"/>
      <c r="J744" s="115"/>
      <c r="K744" s="107"/>
      <c r="L744" s="49"/>
      <c r="M744" s="107"/>
      <c r="N744" s="116"/>
    </row>
    <row r="745">
      <c r="C745" s="107"/>
      <c r="D745" s="108"/>
      <c r="E745" s="114"/>
      <c r="F745" s="107"/>
      <c r="H745" s="111"/>
      <c r="I745" s="111"/>
      <c r="J745" s="115"/>
      <c r="K745" s="107"/>
      <c r="L745" s="49"/>
      <c r="M745" s="107"/>
      <c r="N745" s="116"/>
    </row>
    <row r="746">
      <c r="C746" s="107"/>
      <c r="D746" s="108"/>
      <c r="E746" s="114"/>
      <c r="F746" s="107"/>
      <c r="H746" s="111"/>
      <c r="I746" s="111"/>
      <c r="J746" s="115"/>
      <c r="K746" s="107"/>
      <c r="L746" s="49"/>
      <c r="M746" s="107"/>
      <c r="N746" s="116"/>
    </row>
    <row r="747">
      <c r="C747" s="107"/>
      <c r="D747" s="108"/>
      <c r="E747" s="114"/>
      <c r="F747" s="107"/>
      <c r="H747" s="111"/>
      <c r="I747" s="111"/>
      <c r="J747" s="115"/>
      <c r="K747" s="107"/>
      <c r="L747" s="49"/>
      <c r="M747" s="107"/>
      <c r="N747" s="116"/>
    </row>
    <row r="748">
      <c r="C748" s="107"/>
      <c r="D748" s="108"/>
      <c r="E748" s="114"/>
      <c r="F748" s="107"/>
      <c r="H748" s="111"/>
      <c r="I748" s="111"/>
      <c r="J748" s="115"/>
      <c r="K748" s="107"/>
      <c r="L748" s="49"/>
      <c r="M748" s="107"/>
      <c r="N748" s="116"/>
    </row>
    <row r="749">
      <c r="C749" s="107"/>
      <c r="D749" s="108"/>
      <c r="E749" s="114"/>
      <c r="F749" s="107"/>
      <c r="H749" s="111"/>
      <c r="I749" s="111"/>
      <c r="J749" s="115"/>
      <c r="K749" s="107"/>
      <c r="L749" s="49"/>
      <c r="M749" s="107"/>
      <c r="N749" s="116"/>
    </row>
    <row r="750">
      <c r="C750" s="107"/>
      <c r="D750" s="108"/>
      <c r="E750" s="114"/>
      <c r="F750" s="107"/>
      <c r="H750" s="111"/>
      <c r="I750" s="111"/>
      <c r="J750" s="115"/>
      <c r="K750" s="107"/>
      <c r="L750" s="49"/>
      <c r="M750" s="107"/>
      <c r="N750" s="116"/>
    </row>
    <row r="751">
      <c r="C751" s="107"/>
      <c r="D751" s="108"/>
      <c r="E751" s="114"/>
      <c r="F751" s="107"/>
      <c r="H751" s="111"/>
      <c r="I751" s="111"/>
      <c r="J751" s="115"/>
      <c r="K751" s="107"/>
      <c r="L751" s="49"/>
      <c r="M751" s="107"/>
      <c r="N751" s="116"/>
    </row>
    <row r="752">
      <c r="C752" s="107"/>
      <c r="D752" s="108"/>
      <c r="E752" s="114"/>
      <c r="F752" s="107"/>
      <c r="H752" s="111"/>
      <c r="I752" s="111"/>
      <c r="J752" s="115"/>
      <c r="K752" s="107"/>
      <c r="L752" s="49"/>
      <c r="M752" s="107"/>
      <c r="N752" s="116"/>
    </row>
    <row r="753">
      <c r="C753" s="107"/>
      <c r="D753" s="108"/>
      <c r="E753" s="114"/>
      <c r="F753" s="107"/>
      <c r="H753" s="111"/>
      <c r="I753" s="111"/>
      <c r="J753" s="115"/>
      <c r="K753" s="107"/>
      <c r="L753" s="49"/>
      <c r="M753" s="107"/>
      <c r="N753" s="116"/>
    </row>
    <row r="754">
      <c r="C754" s="107"/>
      <c r="D754" s="108"/>
      <c r="E754" s="114"/>
      <c r="F754" s="107"/>
      <c r="H754" s="111"/>
      <c r="I754" s="111"/>
      <c r="J754" s="115"/>
      <c r="K754" s="107"/>
      <c r="L754" s="49"/>
      <c r="M754" s="107"/>
      <c r="N754" s="116"/>
    </row>
    <row r="755">
      <c r="C755" s="107"/>
      <c r="D755" s="108"/>
      <c r="E755" s="114"/>
      <c r="F755" s="107"/>
      <c r="H755" s="111"/>
      <c r="I755" s="111"/>
      <c r="J755" s="115"/>
      <c r="K755" s="107"/>
      <c r="L755" s="49"/>
      <c r="M755" s="107"/>
      <c r="N755" s="116"/>
    </row>
    <row r="756">
      <c r="C756" s="107"/>
      <c r="D756" s="108"/>
      <c r="E756" s="114"/>
      <c r="F756" s="107"/>
      <c r="H756" s="111"/>
      <c r="I756" s="111"/>
      <c r="J756" s="115"/>
      <c r="K756" s="107"/>
      <c r="L756" s="49"/>
      <c r="M756" s="107"/>
      <c r="N756" s="116"/>
    </row>
    <row r="757">
      <c r="C757" s="107"/>
      <c r="D757" s="108"/>
      <c r="E757" s="114"/>
      <c r="F757" s="107"/>
      <c r="H757" s="111"/>
      <c r="I757" s="111"/>
      <c r="J757" s="115"/>
      <c r="K757" s="107"/>
      <c r="L757" s="49"/>
      <c r="M757" s="107"/>
      <c r="N757" s="116"/>
    </row>
    <row r="758">
      <c r="C758" s="107"/>
      <c r="D758" s="108"/>
      <c r="E758" s="114"/>
      <c r="F758" s="107"/>
      <c r="H758" s="111"/>
      <c r="I758" s="111"/>
      <c r="J758" s="115"/>
      <c r="K758" s="107"/>
      <c r="L758" s="49"/>
      <c r="M758" s="107"/>
      <c r="N758" s="116"/>
    </row>
    <row r="759">
      <c r="C759" s="107"/>
      <c r="D759" s="108"/>
      <c r="E759" s="114"/>
      <c r="F759" s="107"/>
      <c r="H759" s="111"/>
      <c r="I759" s="111"/>
      <c r="J759" s="115"/>
      <c r="K759" s="107"/>
      <c r="L759" s="49"/>
      <c r="M759" s="107"/>
      <c r="N759" s="116"/>
    </row>
    <row r="760">
      <c r="C760" s="107"/>
      <c r="D760" s="108"/>
      <c r="E760" s="114"/>
      <c r="F760" s="107"/>
      <c r="H760" s="111"/>
      <c r="I760" s="111"/>
      <c r="J760" s="115"/>
      <c r="K760" s="107"/>
      <c r="L760" s="49"/>
      <c r="M760" s="107"/>
      <c r="N760" s="116"/>
    </row>
    <row r="761">
      <c r="C761" s="107"/>
      <c r="D761" s="108"/>
      <c r="E761" s="114"/>
      <c r="F761" s="107"/>
      <c r="H761" s="111"/>
      <c r="I761" s="111"/>
      <c r="J761" s="115"/>
      <c r="K761" s="107"/>
      <c r="L761" s="49"/>
      <c r="M761" s="107"/>
      <c r="N761" s="116"/>
    </row>
    <row r="762">
      <c r="C762" s="107"/>
      <c r="D762" s="108"/>
      <c r="E762" s="114"/>
      <c r="F762" s="107"/>
      <c r="H762" s="111"/>
      <c r="I762" s="111"/>
      <c r="J762" s="115"/>
      <c r="K762" s="107"/>
      <c r="L762" s="49"/>
      <c r="M762" s="107"/>
      <c r="N762" s="116"/>
    </row>
    <row r="763">
      <c r="C763" s="107"/>
      <c r="D763" s="108"/>
      <c r="E763" s="114"/>
      <c r="F763" s="107"/>
      <c r="H763" s="111"/>
      <c r="I763" s="111"/>
      <c r="J763" s="115"/>
      <c r="K763" s="107"/>
      <c r="L763" s="49"/>
      <c r="M763" s="107"/>
      <c r="N763" s="116"/>
    </row>
    <row r="764">
      <c r="C764" s="107"/>
      <c r="D764" s="108"/>
      <c r="E764" s="114"/>
      <c r="F764" s="107"/>
      <c r="H764" s="111"/>
      <c r="I764" s="111"/>
      <c r="J764" s="115"/>
      <c r="K764" s="107"/>
      <c r="L764" s="49"/>
      <c r="M764" s="107"/>
      <c r="N764" s="116"/>
    </row>
    <row r="765">
      <c r="C765" s="107"/>
      <c r="D765" s="108"/>
      <c r="E765" s="114"/>
      <c r="F765" s="107"/>
      <c r="H765" s="111"/>
      <c r="I765" s="111"/>
      <c r="J765" s="115"/>
      <c r="K765" s="107"/>
      <c r="L765" s="49"/>
      <c r="M765" s="107"/>
      <c r="N765" s="116"/>
    </row>
    <row r="766">
      <c r="C766" s="107"/>
      <c r="D766" s="108"/>
      <c r="E766" s="114"/>
      <c r="F766" s="107"/>
      <c r="H766" s="111"/>
      <c r="I766" s="111"/>
      <c r="J766" s="115"/>
      <c r="K766" s="107"/>
      <c r="L766" s="49"/>
      <c r="M766" s="107"/>
      <c r="N766" s="116"/>
    </row>
    <row r="767">
      <c r="C767" s="107"/>
      <c r="D767" s="108"/>
      <c r="E767" s="114"/>
      <c r="F767" s="107"/>
      <c r="H767" s="111"/>
      <c r="I767" s="111"/>
      <c r="J767" s="115"/>
      <c r="K767" s="107"/>
      <c r="L767" s="49"/>
      <c r="M767" s="107"/>
      <c r="N767" s="116"/>
    </row>
    <row r="768">
      <c r="C768" s="107"/>
      <c r="D768" s="108"/>
      <c r="E768" s="114"/>
      <c r="F768" s="107"/>
      <c r="H768" s="111"/>
      <c r="I768" s="111"/>
      <c r="J768" s="115"/>
      <c r="K768" s="107"/>
      <c r="L768" s="49"/>
      <c r="M768" s="107"/>
      <c r="N768" s="116"/>
    </row>
    <row r="769">
      <c r="C769" s="107"/>
      <c r="D769" s="108"/>
      <c r="E769" s="114"/>
      <c r="F769" s="107"/>
      <c r="H769" s="111"/>
      <c r="I769" s="111"/>
      <c r="J769" s="115"/>
      <c r="K769" s="107"/>
      <c r="L769" s="49"/>
      <c r="M769" s="107"/>
      <c r="N769" s="116"/>
    </row>
    <row r="770">
      <c r="C770" s="107"/>
      <c r="D770" s="108"/>
      <c r="E770" s="114"/>
      <c r="F770" s="107"/>
      <c r="H770" s="111"/>
      <c r="I770" s="111"/>
      <c r="J770" s="115"/>
      <c r="K770" s="107"/>
      <c r="L770" s="49"/>
      <c r="M770" s="107"/>
      <c r="N770" s="116"/>
    </row>
    <row r="771">
      <c r="C771" s="107"/>
      <c r="D771" s="108"/>
      <c r="E771" s="114"/>
      <c r="F771" s="107"/>
      <c r="H771" s="111"/>
      <c r="I771" s="111"/>
      <c r="J771" s="115"/>
      <c r="K771" s="107"/>
      <c r="L771" s="49"/>
      <c r="M771" s="107"/>
      <c r="N771" s="116"/>
    </row>
    <row r="772">
      <c r="C772" s="107"/>
      <c r="D772" s="108"/>
      <c r="E772" s="114"/>
      <c r="F772" s="107"/>
      <c r="H772" s="111"/>
      <c r="I772" s="111"/>
      <c r="J772" s="115"/>
      <c r="K772" s="107"/>
      <c r="L772" s="49"/>
      <c r="M772" s="107"/>
      <c r="N772" s="116"/>
    </row>
    <row r="773">
      <c r="C773" s="107"/>
      <c r="D773" s="108"/>
      <c r="E773" s="114"/>
      <c r="F773" s="107"/>
      <c r="H773" s="111"/>
      <c r="I773" s="111"/>
      <c r="J773" s="115"/>
      <c r="K773" s="107"/>
      <c r="L773" s="49"/>
      <c r="M773" s="107"/>
      <c r="N773" s="116"/>
    </row>
    <row r="774">
      <c r="C774" s="107"/>
      <c r="D774" s="108"/>
      <c r="E774" s="114"/>
      <c r="F774" s="107"/>
      <c r="H774" s="111"/>
      <c r="I774" s="111"/>
      <c r="J774" s="115"/>
      <c r="K774" s="107"/>
      <c r="L774" s="49"/>
      <c r="M774" s="107"/>
      <c r="N774" s="116"/>
    </row>
    <row r="775">
      <c r="C775" s="107"/>
      <c r="D775" s="108"/>
      <c r="E775" s="114"/>
      <c r="F775" s="107"/>
      <c r="H775" s="111"/>
      <c r="I775" s="111"/>
      <c r="J775" s="115"/>
      <c r="K775" s="107"/>
      <c r="L775" s="49"/>
      <c r="M775" s="107"/>
      <c r="N775" s="116"/>
    </row>
    <row r="776">
      <c r="C776" s="107"/>
      <c r="D776" s="108"/>
      <c r="E776" s="114"/>
      <c r="F776" s="107"/>
      <c r="H776" s="111"/>
      <c r="I776" s="111"/>
      <c r="J776" s="115"/>
      <c r="K776" s="107"/>
      <c r="L776" s="49"/>
      <c r="M776" s="107"/>
      <c r="N776" s="116"/>
    </row>
    <row r="777">
      <c r="C777" s="107"/>
      <c r="D777" s="108"/>
      <c r="E777" s="114"/>
      <c r="F777" s="107"/>
      <c r="H777" s="111"/>
      <c r="I777" s="111"/>
      <c r="J777" s="115"/>
      <c r="K777" s="107"/>
      <c r="L777" s="49"/>
      <c r="M777" s="107"/>
      <c r="N777" s="116"/>
    </row>
    <row r="778">
      <c r="C778" s="107"/>
      <c r="D778" s="108"/>
      <c r="E778" s="114"/>
      <c r="F778" s="107"/>
      <c r="H778" s="111"/>
      <c r="I778" s="111"/>
      <c r="J778" s="115"/>
      <c r="K778" s="107"/>
      <c r="L778" s="49"/>
      <c r="M778" s="107"/>
      <c r="N778" s="116"/>
    </row>
    <row r="779">
      <c r="C779" s="107"/>
      <c r="D779" s="108"/>
      <c r="E779" s="114"/>
      <c r="F779" s="107"/>
      <c r="H779" s="111"/>
      <c r="I779" s="111"/>
      <c r="J779" s="115"/>
      <c r="K779" s="107"/>
      <c r="L779" s="49"/>
      <c r="M779" s="107"/>
      <c r="N779" s="116"/>
    </row>
    <row r="780">
      <c r="C780" s="107"/>
      <c r="D780" s="108"/>
      <c r="E780" s="114"/>
      <c r="F780" s="107"/>
      <c r="H780" s="111"/>
      <c r="I780" s="111"/>
      <c r="J780" s="115"/>
      <c r="K780" s="107"/>
      <c r="L780" s="49"/>
      <c r="M780" s="107"/>
      <c r="N780" s="116"/>
    </row>
    <row r="781">
      <c r="C781" s="107"/>
      <c r="D781" s="108"/>
      <c r="E781" s="114"/>
      <c r="F781" s="107"/>
      <c r="H781" s="111"/>
      <c r="I781" s="111"/>
      <c r="J781" s="115"/>
      <c r="K781" s="107"/>
      <c r="L781" s="49"/>
      <c r="M781" s="107"/>
      <c r="N781" s="116"/>
    </row>
    <row r="782">
      <c r="C782" s="107"/>
      <c r="D782" s="108"/>
      <c r="E782" s="114"/>
      <c r="F782" s="107"/>
      <c r="H782" s="111"/>
      <c r="I782" s="111"/>
      <c r="J782" s="115"/>
      <c r="K782" s="107"/>
      <c r="L782" s="49"/>
      <c r="M782" s="107"/>
      <c r="N782" s="116"/>
    </row>
    <row r="783">
      <c r="C783" s="107"/>
      <c r="D783" s="108"/>
      <c r="E783" s="114"/>
      <c r="F783" s="107"/>
      <c r="H783" s="111"/>
      <c r="I783" s="111"/>
      <c r="J783" s="115"/>
      <c r="K783" s="107"/>
      <c r="L783" s="49"/>
      <c r="M783" s="107"/>
      <c r="N783" s="116"/>
    </row>
    <row r="784">
      <c r="C784" s="107"/>
      <c r="D784" s="108"/>
      <c r="E784" s="114"/>
      <c r="F784" s="107"/>
      <c r="H784" s="111"/>
      <c r="I784" s="111"/>
      <c r="J784" s="115"/>
      <c r="K784" s="107"/>
      <c r="L784" s="49"/>
      <c r="M784" s="107"/>
      <c r="N784" s="116"/>
    </row>
    <row r="785">
      <c r="C785" s="107"/>
      <c r="D785" s="108"/>
      <c r="E785" s="114"/>
      <c r="F785" s="107"/>
      <c r="H785" s="111"/>
      <c r="I785" s="111"/>
      <c r="J785" s="115"/>
      <c r="K785" s="107"/>
      <c r="L785" s="49"/>
      <c r="M785" s="107"/>
      <c r="N785" s="116"/>
    </row>
    <row r="786">
      <c r="C786" s="107"/>
      <c r="D786" s="108"/>
      <c r="E786" s="114"/>
      <c r="F786" s="107"/>
      <c r="H786" s="111"/>
      <c r="I786" s="111"/>
      <c r="J786" s="115"/>
      <c r="K786" s="107"/>
      <c r="L786" s="49"/>
      <c r="M786" s="107"/>
      <c r="N786" s="116"/>
    </row>
    <row r="787">
      <c r="C787" s="107"/>
      <c r="D787" s="108"/>
      <c r="E787" s="114"/>
      <c r="F787" s="107"/>
      <c r="H787" s="111"/>
      <c r="I787" s="111"/>
      <c r="J787" s="115"/>
      <c r="K787" s="107"/>
      <c r="L787" s="49"/>
      <c r="M787" s="107"/>
      <c r="N787" s="116"/>
    </row>
    <row r="788">
      <c r="C788" s="107"/>
      <c r="D788" s="108"/>
      <c r="E788" s="114"/>
      <c r="F788" s="107"/>
      <c r="H788" s="111"/>
      <c r="I788" s="111"/>
      <c r="J788" s="115"/>
      <c r="K788" s="107"/>
      <c r="L788" s="49"/>
      <c r="M788" s="107"/>
      <c r="N788" s="116"/>
    </row>
    <row r="789">
      <c r="C789" s="107"/>
      <c r="D789" s="108"/>
      <c r="E789" s="114"/>
      <c r="F789" s="107"/>
      <c r="H789" s="111"/>
      <c r="I789" s="111"/>
      <c r="J789" s="115"/>
      <c r="K789" s="107"/>
      <c r="L789" s="49"/>
      <c r="M789" s="107"/>
      <c r="N789" s="116"/>
    </row>
    <row r="790">
      <c r="C790" s="107"/>
      <c r="D790" s="108"/>
      <c r="E790" s="114"/>
      <c r="F790" s="107"/>
      <c r="H790" s="111"/>
      <c r="I790" s="111"/>
      <c r="J790" s="115"/>
      <c r="K790" s="107"/>
      <c r="L790" s="49"/>
      <c r="M790" s="107"/>
      <c r="N790" s="116"/>
    </row>
    <row r="791">
      <c r="C791" s="107"/>
      <c r="D791" s="108"/>
      <c r="E791" s="114"/>
      <c r="F791" s="107"/>
      <c r="H791" s="111"/>
      <c r="I791" s="111"/>
      <c r="J791" s="115"/>
      <c r="K791" s="107"/>
      <c r="L791" s="49"/>
      <c r="M791" s="107"/>
      <c r="N791" s="116"/>
    </row>
    <row r="792">
      <c r="C792" s="107"/>
      <c r="D792" s="108"/>
      <c r="E792" s="114"/>
      <c r="F792" s="107"/>
      <c r="H792" s="111"/>
      <c r="I792" s="111"/>
      <c r="J792" s="115"/>
      <c r="K792" s="107"/>
      <c r="L792" s="49"/>
      <c r="M792" s="107"/>
      <c r="N792" s="116"/>
    </row>
    <row r="793">
      <c r="C793" s="107"/>
      <c r="D793" s="108"/>
      <c r="E793" s="114"/>
      <c r="F793" s="107"/>
      <c r="H793" s="111"/>
      <c r="I793" s="111"/>
      <c r="J793" s="115"/>
      <c r="K793" s="107"/>
      <c r="L793" s="49"/>
      <c r="M793" s="107"/>
      <c r="N793" s="116"/>
    </row>
    <row r="794">
      <c r="C794" s="107"/>
      <c r="D794" s="108"/>
      <c r="E794" s="114"/>
      <c r="F794" s="107"/>
      <c r="H794" s="111"/>
      <c r="I794" s="111"/>
      <c r="J794" s="115"/>
      <c r="K794" s="107"/>
      <c r="L794" s="49"/>
      <c r="M794" s="107"/>
      <c r="N794" s="116"/>
    </row>
    <row r="795">
      <c r="C795" s="107"/>
      <c r="D795" s="108"/>
      <c r="E795" s="114"/>
      <c r="F795" s="107"/>
      <c r="H795" s="111"/>
      <c r="I795" s="111"/>
      <c r="J795" s="115"/>
      <c r="K795" s="107"/>
      <c r="L795" s="49"/>
      <c r="M795" s="107"/>
      <c r="N795" s="116"/>
    </row>
    <row r="796">
      <c r="C796" s="107"/>
      <c r="D796" s="108"/>
      <c r="E796" s="114"/>
      <c r="F796" s="107"/>
      <c r="H796" s="111"/>
      <c r="I796" s="111"/>
      <c r="J796" s="115"/>
      <c r="K796" s="107"/>
      <c r="L796" s="49"/>
      <c r="M796" s="107"/>
      <c r="N796" s="116"/>
    </row>
    <row r="797">
      <c r="C797" s="107"/>
      <c r="D797" s="108"/>
      <c r="E797" s="114"/>
      <c r="F797" s="107"/>
      <c r="H797" s="111"/>
      <c r="I797" s="111"/>
      <c r="J797" s="115"/>
      <c r="K797" s="107"/>
      <c r="L797" s="49"/>
      <c r="M797" s="107"/>
      <c r="N797" s="116"/>
    </row>
    <row r="798">
      <c r="C798" s="107"/>
      <c r="D798" s="108"/>
      <c r="E798" s="114"/>
      <c r="F798" s="107"/>
      <c r="H798" s="111"/>
      <c r="I798" s="111"/>
      <c r="J798" s="115"/>
      <c r="K798" s="107"/>
      <c r="L798" s="49"/>
      <c r="M798" s="107"/>
      <c r="N798" s="116"/>
    </row>
    <row r="799">
      <c r="C799" s="107"/>
      <c r="D799" s="108"/>
      <c r="E799" s="114"/>
      <c r="F799" s="107"/>
      <c r="H799" s="111"/>
      <c r="I799" s="111"/>
      <c r="J799" s="115"/>
      <c r="K799" s="107"/>
      <c r="L799" s="49"/>
      <c r="M799" s="107"/>
      <c r="N799" s="116"/>
    </row>
    <row r="800">
      <c r="C800" s="107"/>
      <c r="D800" s="108"/>
      <c r="E800" s="114"/>
      <c r="F800" s="107"/>
      <c r="H800" s="111"/>
      <c r="I800" s="111"/>
      <c r="J800" s="115"/>
      <c r="K800" s="107"/>
      <c r="L800" s="49"/>
      <c r="M800" s="107"/>
      <c r="N800" s="116"/>
    </row>
    <row r="801">
      <c r="C801" s="107"/>
      <c r="D801" s="108"/>
      <c r="E801" s="114"/>
      <c r="F801" s="107"/>
      <c r="H801" s="111"/>
      <c r="I801" s="111"/>
      <c r="J801" s="115"/>
      <c r="K801" s="107"/>
      <c r="L801" s="49"/>
      <c r="M801" s="107"/>
      <c r="N801" s="116"/>
    </row>
    <row r="802">
      <c r="C802" s="107"/>
      <c r="D802" s="108"/>
      <c r="E802" s="114"/>
      <c r="F802" s="107"/>
      <c r="H802" s="111"/>
      <c r="I802" s="111"/>
      <c r="J802" s="115"/>
      <c r="K802" s="107"/>
      <c r="L802" s="49"/>
      <c r="M802" s="107"/>
      <c r="N802" s="116"/>
    </row>
    <row r="803">
      <c r="C803" s="107"/>
      <c r="D803" s="108"/>
      <c r="E803" s="114"/>
      <c r="F803" s="107"/>
      <c r="H803" s="111"/>
      <c r="I803" s="111"/>
      <c r="J803" s="115"/>
      <c r="K803" s="107"/>
      <c r="L803" s="49"/>
      <c r="M803" s="107"/>
      <c r="N803" s="116"/>
    </row>
    <row r="804">
      <c r="C804" s="107"/>
      <c r="D804" s="108"/>
      <c r="E804" s="114"/>
      <c r="F804" s="107"/>
      <c r="H804" s="111"/>
      <c r="I804" s="111"/>
      <c r="J804" s="115"/>
      <c r="K804" s="107"/>
      <c r="L804" s="49"/>
      <c r="M804" s="107"/>
      <c r="N804" s="116"/>
    </row>
    <row r="805">
      <c r="C805" s="107"/>
      <c r="D805" s="108"/>
      <c r="E805" s="114"/>
      <c r="F805" s="107"/>
      <c r="H805" s="111"/>
      <c r="I805" s="111"/>
      <c r="J805" s="115"/>
      <c r="K805" s="107"/>
      <c r="L805" s="49"/>
      <c r="M805" s="107"/>
      <c r="N805" s="116"/>
    </row>
    <row r="806">
      <c r="C806" s="107"/>
      <c r="D806" s="108"/>
      <c r="E806" s="114"/>
      <c r="F806" s="107"/>
      <c r="H806" s="111"/>
      <c r="I806" s="111"/>
      <c r="J806" s="115"/>
      <c r="K806" s="107"/>
      <c r="L806" s="49"/>
      <c r="M806" s="107"/>
      <c r="N806" s="116"/>
    </row>
    <row r="807">
      <c r="C807" s="107"/>
      <c r="D807" s="108"/>
      <c r="E807" s="114"/>
      <c r="F807" s="107"/>
      <c r="H807" s="111"/>
      <c r="I807" s="111"/>
      <c r="J807" s="115"/>
      <c r="K807" s="107"/>
      <c r="L807" s="49"/>
      <c r="M807" s="107"/>
      <c r="N807" s="116"/>
    </row>
    <row r="808">
      <c r="C808" s="107"/>
      <c r="D808" s="108"/>
      <c r="E808" s="114"/>
      <c r="F808" s="107"/>
      <c r="H808" s="111"/>
      <c r="I808" s="111"/>
      <c r="J808" s="115"/>
      <c r="K808" s="107"/>
      <c r="L808" s="49"/>
      <c r="M808" s="107"/>
      <c r="N808" s="116"/>
    </row>
    <row r="809">
      <c r="C809" s="107"/>
      <c r="D809" s="108"/>
      <c r="E809" s="114"/>
      <c r="F809" s="107"/>
      <c r="H809" s="111"/>
      <c r="I809" s="111"/>
      <c r="J809" s="115"/>
      <c r="K809" s="107"/>
      <c r="L809" s="49"/>
      <c r="M809" s="107"/>
      <c r="N809" s="116"/>
    </row>
    <row r="810">
      <c r="C810" s="107"/>
      <c r="D810" s="108"/>
      <c r="E810" s="114"/>
      <c r="F810" s="107"/>
      <c r="H810" s="111"/>
      <c r="I810" s="111"/>
      <c r="J810" s="115"/>
      <c r="K810" s="107"/>
      <c r="L810" s="49"/>
      <c r="M810" s="107"/>
      <c r="N810" s="116"/>
    </row>
    <row r="811">
      <c r="C811" s="107"/>
      <c r="D811" s="108"/>
      <c r="E811" s="114"/>
      <c r="F811" s="107"/>
      <c r="H811" s="111"/>
      <c r="I811" s="111"/>
      <c r="J811" s="115"/>
      <c r="K811" s="107"/>
      <c r="L811" s="49"/>
      <c r="M811" s="107"/>
      <c r="N811" s="116"/>
    </row>
    <row r="812">
      <c r="C812" s="107"/>
      <c r="D812" s="108"/>
      <c r="E812" s="114"/>
      <c r="F812" s="107"/>
      <c r="H812" s="111"/>
      <c r="I812" s="111"/>
      <c r="J812" s="115"/>
      <c r="K812" s="107"/>
      <c r="L812" s="49"/>
      <c r="M812" s="107"/>
      <c r="N812" s="116"/>
    </row>
    <row r="813">
      <c r="C813" s="107"/>
      <c r="D813" s="108"/>
      <c r="E813" s="114"/>
      <c r="F813" s="107"/>
      <c r="H813" s="111"/>
      <c r="I813" s="111"/>
      <c r="J813" s="115"/>
      <c r="K813" s="107"/>
      <c r="L813" s="49"/>
      <c r="M813" s="107"/>
      <c r="N813" s="116"/>
    </row>
    <row r="814">
      <c r="C814" s="107"/>
      <c r="D814" s="108"/>
      <c r="E814" s="114"/>
      <c r="F814" s="107"/>
      <c r="H814" s="111"/>
      <c r="I814" s="111"/>
      <c r="J814" s="115"/>
      <c r="K814" s="107"/>
      <c r="L814" s="49"/>
      <c r="M814" s="107"/>
      <c r="N814" s="116"/>
    </row>
    <row r="815">
      <c r="C815" s="107"/>
      <c r="D815" s="108"/>
      <c r="E815" s="114"/>
      <c r="F815" s="107"/>
      <c r="H815" s="111"/>
      <c r="I815" s="111"/>
      <c r="J815" s="115"/>
      <c r="K815" s="107"/>
      <c r="L815" s="49"/>
      <c r="M815" s="107"/>
      <c r="N815" s="116"/>
    </row>
    <row r="816">
      <c r="C816" s="107"/>
      <c r="D816" s="108"/>
      <c r="E816" s="114"/>
      <c r="F816" s="107"/>
      <c r="H816" s="111"/>
      <c r="I816" s="111"/>
      <c r="J816" s="115"/>
      <c r="K816" s="107"/>
      <c r="L816" s="49"/>
      <c r="M816" s="107"/>
      <c r="N816" s="116"/>
    </row>
    <row r="817">
      <c r="C817" s="107"/>
      <c r="D817" s="108"/>
      <c r="E817" s="114"/>
      <c r="F817" s="107"/>
      <c r="H817" s="111"/>
      <c r="I817" s="111"/>
      <c r="J817" s="115"/>
      <c r="K817" s="107"/>
      <c r="L817" s="49"/>
      <c r="M817" s="107"/>
      <c r="N817" s="116"/>
    </row>
    <row r="818">
      <c r="C818" s="107"/>
      <c r="D818" s="108"/>
      <c r="E818" s="114"/>
      <c r="F818" s="107"/>
      <c r="H818" s="111"/>
      <c r="I818" s="111"/>
      <c r="J818" s="115"/>
      <c r="K818" s="107"/>
      <c r="L818" s="49"/>
      <c r="M818" s="107"/>
      <c r="N818" s="116"/>
    </row>
    <row r="819">
      <c r="C819" s="107"/>
      <c r="D819" s="108"/>
      <c r="E819" s="114"/>
      <c r="F819" s="107"/>
      <c r="H819" s="111"/>
      <c r="I819" s="111"/>
      <c r="J819" s="115"/>
      <c r="K819" s="107"/>
      <c r="L819" s="49"/>
      <c r="M819" s="107"/>
      <c r="N819" s="116"/>
    </row>
    <row r="820">
      <c r="C820" s="107"/>
      <c r="D820" s="108"/>
      <c r="E820" s="114"/>
      <c r="F820" s="107"/>
      <c r="H820" s="111"/>
      <c r="I820" s="111"/>
      <c r="J820" s="115"/>
      <c r="K820" s="107"/>
      <c r="L820" s="49"/>
      <c r="M820" s="107"/>
      <c r="N820" s="116"/>
    </row>
    <row r="821">
      <c r="C821" s="107"/>
      <c r="D821" s="108"/>
      <c r="E821" s="114"/>
      <c r="F821" s="107"/>
      <c r="H821" s="111"/>
      <c r="I821" s="111"/>
      <c r="J821" s="115"/>
      <c r="K821" s="107"/>
      <c r="L821" s="49"/>
      <c r="M821" s="107"/>
      <c r="N821" s="116"/>
    </row>
    <row r="822">
      <c r="C822" s="107"/>
      <c r="D822" s="108"/>
      <c r="E822" s="114"/>
      <c r="F822" s="107"/>
      <c r="H822" s="111"/>
      <c r="I822" s="111"/>
      <c r="J822" s="115"/>
      <c r="K822" s="107"/>
      <c r="L822" s="49"/>
      <c r="M822" s="107"/>
      <c r="N822" s="116"/>
    </row>
    <row r="823">
      <c r="C823" s="107"/>
      <c r="D823" s="108"/>
      <c r="E823" s="114"/>
      <c r="F823" s="107"/>
      <c r="H823" s="111"/>
      <c r="I823" s="111"/>
      <c r="J823" s="115"/>
      <c r="K823" s="107"/>
      <c r="L823" s="49"/>
      <c r="M823" s="107"/>
      <c r="N823" s="116"/>
    </row>
    <row r="824">
      <c r="C824" s="107"/>
      <c r="D824" s="108"/>
      <c r="E824" s="114"/>
      <c r="F824" s="107"/>
      <c r="H824" s="111"/>
      <c r="I824" s="111"/>
      <c r="J824" s="115"/>
      <c r="K824" s="107"/>
      <c r="L824" s="49"/>
      <c r="M824" s="107"/>
      <c r="N824" s="116"/>
    </row>
    <row r="825">
      <c r="C825" s="107"/>
      <c r="D825" s="108"/>
      <c r="E825" s="114"/>
      <c r="F825" s="107"/>
      <c r="H825" s="111"/>
      <c r="I825" s="111"/>
      <c r="J825" s="115"/>
      <c r="K825" s="107"/>
      <c r="L825" s="49"/>
      <c r="M825" s="107"/>
      <c r="N825" s="116"/>
    </row>
    <row r="826">
      <c r="C826" s="107"/>
      <c r="D826" s="108"/>
      <c r="E826" s="114"/>
      <c r="F826" s="107"/>
      <c r="H826" s="111"/>
      <c r="I826" s="111"/>
      <c r="J826" s="115"/>
      <c r="K826" s="107"/>
      <c r="L826" s="49"/>
      <c r="M826" s="107"/>
      <c r="N826" s="116"/>
    </row>
    <row r="827">
      <c r="C827" s="107"/>
      <c r="D827" s="108"/>
      <c r="E827" s="114"/>
      <c r="F827" s="107"/>
      <c r="H827" s="111"/>
      <c r="I827" s="111"/>
      <c r="J827" s="115"/>
      <c r="K827" s="107"/>
      <c r="L827" s="49"/>
      <c r="M827" s="107"/>
      <c r="N827" s="116"/>
    </row>
    <row r="828">
      <c r="C828" s="107"/>
      <c r="D828" s="108"/>
      <c r="E828" s="114"/>
      <c r="F828" s="107"/>
      <c r="H828" s="111"/>
      <c r="I828" s="111"/>
      <c r="J828" s="115"/>
      <c r="K828" s="107"/>
      <c r="L828" s="49"/>
      <c r="M828" s="107"/>
      <c r="N828" s="116"/>
    </row>
    <row r="829">
      <c r="C829" s="107"/>
      <c r="D829" s="108"/>
      <c r="E829" s="114"/>
      <c r="F829" s="107"/>
      <c r="H829" s="111"/>
      <c r="I829" s="111"/>
      <c r="J829" s="115"/>
      <c r="K829" s="107"/>
      <c r="L829" s="49"/>
      <c r="M829" s="107"/>
      <c r="N829" s="116"/>
    </row>
    <row r="830">
      <c r="C830" s="107"/>
      <c r="D830" s="108"/>
      <c r="E830" s="114"/>
      <c r="F830" s="107"/>
      <c r="H830" s="111"/>
      <c r="I830" s="111"/>
      <c r="J830" s="115"/>
      <c r="K830" s="107"/>
      <c r="L830" s="49"/>
      <c r="M830" s="107"/>
      <c r="N830" s="116"/>
    </row>
    <row r="831">
      <c r="C831" s="107"/>
      <c r="D831" s="108"/>
      <c r="E831" s="114"/>
      <c r="F831" s="107"/>
      <c r="H831" s="111"/>
      <c r="I831" s="111"/>
      <c r="J831" s="115"/>
      <c r="K831" s="107"/>
      <c r="L831" s="49"/>
      <c r="M831" s="107"/>
      <c r="N831" s="116"/>
    </row>
    <row r="832">
      <c r="C832" s="107"/>
      <c r="D832" s="108"/>
      <c r="E832" s="114"/>
      <c r="F832" s="107"/>
      <c r="H832" s="111"/>
      <c r="I832" s="111"/>
      <c r="J832" s="115"/>
      <c r="K832" s="107"/>
      <c r="L832" s="49"/>
      <c r="M832" s="107"/>
      <c r="N832" s="116"/>
    </row>
    <row r="833">
      <c r="C833" s="107"/>
      <c r="D833" s="108"/>
      <c r="E833" s="114"/>
      <c r="F833" s="107"/>
      <c r="H833" s="111"/>
      <c r="I833" s="111"/>
      <c r="J833" s="115"/>
      <c r="K833" s="107"/>
      <c r="L833" s="49"/>
      <c r="M833" s="107"/>
      <c r="N833" s="116"/>
    </row>
    <row r="834">
      <c r="C834" s="107"/>
      <c r="D834" s="108"/>
      <c r="E834" s="114"/>
      <c r="F834" s="107"/>
      <c r="H834" s="111"/>
      <c r="I834" s="111"/>
      <c r="J834" s="115"/>
      <c r="K834" s="107"/>
      <c r="L834" s="49"/>
      <c r="M834" s="107"/>
      <c r="N834" s="116"/>
    </row>
    <row r="835">
      <c r="C835" s="107"/>
      <c r="D835" s="108"/>
      <c r="E835" s="114"/>
      <c r="F835" s="107"/>
      <c r="H835" s="111"/>
      <c r="I835" s="111"/>
      <c r="J835" s="115"/>
      <c r="K835" s="107"/>
      <c r="L835" s="49"/>
      <c r="M835" s="107"/>
      <c r="N835" s="116"/>
    </row>
    <row r="836">
      <c r="C836" s="107"/>
      <c r="D836" s="108"/>
      <c r="E836" s="114"/>
      <c r="F836" s="107"/>
      <c r="H836" s="111"/>
      <c r="I836" s="111"/>
      <c r="J836" s="115"/>
      <c r="K836" s="107"/>
      <c r="L836" s="49"/>
      <c r="M836" s="107"/>
      <c r="N836" s="116"/>
    </row>
    <row r="837">
      <c r="C837" s="107"/>
      <c r="D837" s="108"/>
      <c r="E837" s="114"/>
      <c r="F837" s="107"/>
      <c r="H837" s="111"/>
      <c r="I837" s="111"/>
      <c r="J837" s="115"/>
      <c r="K837" s="107"/>
      <c r="L837" s="49"/>
      <c r="M837" s="107"/>
      <c r="N837" s="116"/>
    </row>
    <row r="838">
      <c r="C838" s="107"/>
      <c r="D838" s="108"/>
      <c r="E838" s="114"/>
      <c r="F838" s="107"/>
      <c r="H838" s="111"/>
      <c r="I838" s="111"/>
      <c r="J838" s="115"/>
      <c r="K838" s="107"/>
      <c r="L838" s="49"/>
      <c r="M838" s="107"/>
      <c r="N838" s="116"/>
    </row>
    <row r="839">
      <c r="C839" s="107"/>
      <c r="D839" s="108"/>
      <c r="E839" s="114"/>
      <c r="F839" s="107"/>
      <c r="H839" s="111"/>
      <c r="I839" s="111"/>
      <c r="J839" s="115"/>
      <c r="K839" s="107"/>
      <c r="L839" s="49"/>
      <c r="M839" s="107"/>
      <c r="N839" s="116"/>
    </row>
    <row r="840">
      <c r="C840" s="107"/>
      <c r="D840" s="108"/>
      <c r="E840" s="114"/>
      <c r="F840" s="107"/>
      <c r="H840" s="111"/>
      <c r="I840" s="111"/>
      <c r="J840" s="115"/>
      <c r="K840" s="107"/>
      <c r="L840" s="49"/>
      <c r="M840" s="107"/>
      <c r="N840" s="116"/>
    </row>
    <row r="841">
      <c r="C841" s="107"/>
      <c r="D841" s="108"/>
      <c r="E841" s="114"/>
      <c r="F841" s="107"/>
      <c r="H841" s="111"/>
      <c r="I841" s="111"/>
      <c r="J841" s="115"/>
      <c r="K841" s="107"/>
      <c r="L841" s="49"/>
      <c r="M841" s="107"/>
      <c r="N841" s="116"/>
    </row>
    <row r="842">
      <c r="C842" s="107"/>
      <c r="D842" s="108"/>
      <c r="E842" s="114"/>
      <c r="F842" s="107"/>
      <c r="H842" s="111"/>
      <c r="I842" s="111"/>
      <c r="J842" s="115"/>
      <c r="K842" s="107"/>
      <c r="L842" s="49"/>
      <c r="M842" s="107"/>
      <c r="N842" s="116"/>
    </row>
    <row r="843">
      <c r="C843" s="107"/>
      <c r="D843" s="108"/>
      <c r="E843" s="114"/>
      <c r="F843" s="107"/>
      <c r="H843" s="111"/>
      <c r="I843" s="111"/>
      <c r="J843" s="115"/>
      <c r="K843" s="107"/>
      <c r="L843" s="49"/>
      <c r="M843" s="107"/>
      <c r="N843" s="116"/>
    </row>
    <row r="844">
      <c r="C844" s="107"/>
      <c r="D844" s="108"/>
      <c r="E844" s="114"/>
      <c r="F844" s="107"/>
      <c r="H844" s="111"/>
      <c r="I844" s="111"/>
      <c r="J844" s="115"/>
      <c r="K844" s="107"/>
      <c r="L844" s="49"/>
      <c r="M844" s="107"/>
      <c r="N844" s="116"/>
    </row>
    <row r="845">
      <c r="C845" s="107"/>
      <c r="D845" s="108"/>
      <c r="E845" s="114"/>
      <c r="F845" s="107"/>
      <c r="H845" s="111"/>
      <c r="I845" s="111"/>
      <c r="J845" s="115"/>
      <c r="K845" s="107"/>
      <c r="L845" s="49"/>
      <c r="M845" s="107"/>
      <c r="N845" s="116"/>
    </row>
    <row r="846">
      <c r="C846" s="107"/>
      <c r="D846" s="108"/>
      <c r="E846" s="114"/>
      <c r="F846" s="107"/>
      <c r="H846" s="111"/>
      <c r="I846" s="111"/>
      <c r="J846" s="115"/>
      <c r="K846" s="107"/>
      <c r="L846" s="49"/>
      <c r="M846" s="107"/>
      <c r="N846" s="116"/>
    </row>
    <row r="847">
      <c r="C847" s="107"/>
      <c r="D847" s="108"/>
      <c r="E847" s="114"/>
      <c r="F847" s="107"/>
      <c r="H847" s="111"/>
      <c r="I847" s="111"/>
      <c r="J847" s="115"/>
      <c r="K847" s="107"/>
      <c r="L847" s="49"/>
      <c r="M847" s="107"/>
      <c r="N847" s="116"/>
    </row>
    <row r="848">
      <c r="C848" s="107"/>
      <c r="D848" s="108"/>
      <c r="E848" s="114"/>
      <c r="F848" s="107"/>
      <c r="H848" s="111"/>
      <c r="I848" s="111"/>
      <c r="J848" s="115"/>
      <c r="K848" s="107"/>
      <c r="L848" s="49"/>
      <c r="M848" s="107"/>
      <c r="N848" s="116"/>
    </row>
    <row r="849">
      <c r="C849" s="107"/>
      <c r="D849" s="108"/>
      <c r="E849" s="114"/>
      <c r="F849" s="107"/>
      <c r="H849" s="111"/>
      <c r="I849" s="111"/>
      <c r="J849" s="115"/>
      <c r="K849" s="107"/>
      <c r="L849" s="49"/>
      <c r="M849" s="107"/>
      <c r="N849" s="116"/>
    </row>
    <row r="850">
      <c r="C850" s="107"/>
      <c r="D850" s="108"/>
      <c r="E850" s="114"/>
      <c r="F850" s="107"/>
      <c r="H850" s="111"/>
      <c r="I850" s="111"/>
      <c r="J850" s="115"/>
      <c r="K850" s="107"/>
      <c r="L850" s="49"/>
      <c r="M850" s="107"/>
      <c r="N850" s="116"/>
    </row>
    <row r="851">
      <c r="C851" s="107"/>
      <c r="D851" s="108"/>
      <c r="E851" s="114"/>
      <c r="F851" s="107"/>
      <c r="H851" s="111"/>
      <c r="I851" s="111"/>
      <c r="J851" s="115"/>
      <c r="K851" s="107"/>
      <c r="L851" s="49"/>
      <c r="M851" s="107"/>
      <c r="N851" s="116"/>
    </row>
    <row r="852">
      <c r="C852" s="107"/>
      <c r="D852" s="108"/>
      <c r="E852" s="114"/>
      <c r="F852" s="107"/>
      <c r="H852" s="111"/>
      <c r="I852" s="111"/>
      <c r="J852" s="115"/>
      <c r="K852" s="107"/>
      <c r="L852" s="49"/>
      <c r="M852" s="107"/>
      <c r="N852" s="116"/>
    </row>
    <row r="853">
      <c r="C853" s="107"/>
      <c r="D853" s="108"/>
      <c r="E853" s="114"/>
      <c r="F853" s="107"/>
      <c r="H853" s="111"/>
      <c r="I853" s="111"/>
      <c r="J853" s="115"/>
      <c r="K853" s="107"/>
      <c r="L853" s="49"/>
      <c r="M853" s="107"/>
      <c r="N853" s="116"/>
    </row>
    <row r="854">
      <c r="C854" s="107"/>
      <c r="D854" s="108"/>
      <c r="E854" s="114"/>
      <c r="F854" s="107"/>
      <c r="H854" s="111"/>
      <c r="I854" s="111"/>
      <c r="J854" s="115"/>
      <c r="K854" s="107"/>
      <c r="L854" s="49"/>
      <c r="M854" s="107"/>
      <c r="N854" s="116"/>
    </row>
    <row r="855">
      <c r="C855" s="107"/>
      <c r="D855" s="108"/>
      <c r="E855" s="114"/>
      <c r="F855" s="107"/>
      <c r="H855" s="111"/>
      <c r="I855" s="111"/>
      <c r="J855" s="115"/>
      <c r="K855" s="107"/>
      <c r="L855" s="49"/>
      <c r="M855" s="107"/>
      <c r="N855" s="116"/>
    </row>
    <row r="856">
      <c r="C856" s="107"/>
      <c r="D856" s="108"/>
      <c r="E856" s="114"/>
      <c r="F856" s="107"/>
      <c r="H856" s="111"/>
      <c r="I856" s="111"/>
      <c r="J856" s="115"/>
      <c r="K856" s="107"/>
      <c r="L856" s="49"/>
      <c r="M856" s="107"/>
      <c r="N856" s="116"/>
    </row>
    <row r="857">
      <c r="C857" s="107"/>
      <c r="D857" s="108"/>
      <c r="E857" s="114"/>
      <c r="F857" s="107"/>
      <c r="H857" s="111"/>
      <c r="I857" s="111"/>
      <c r="J857" s="115"/>
      <c r="K857" s="107"/>
      <c r="L857" s="49"/>
      <c r="M857" s="107"/>
      <c r="N857" s="116"/>
    </row>
    <row r="858">
      <c r="C858" s="107"/>
      <c r="D858" s="108"/>
      <c r="E858" s="114"/>
      <c r="F858" s="107"/>
      <c r="H858" s="111"/>
      <c r="I858" s="111"/>
      <c r="J858" s="115"/>
      <c r="K858" s="107"/>
      <c r="L858" s="49"/>
      <c r="M858" s="107"/>
      <c r="N858" s="116"/>
    </row>
    <row r="859">
      <c r="C859" s="107"/>
      <c r="D859" s="108"/>
      <c r="E859" s="114"/>
      <c r="F859" s="107"/>
      <c r="H859" s="111"/>
      <c r="I859" s="111"/>
      <c r="J859" s="115"/>
      <c r="K859" s="107"/>
      <c r="L859" s="49"/>
      <c r="M859" s="107"/>
      <c r="N859" s="116"/>
    </row>
    <row r="860">
      <c r="C860" s="107"/>
      <c r="D860" s="108"/>
      <c r="E860" s="114"/>
      <c r="F860" s="107"/>
      <c r="H860" s="111"/>
      <c r="I860" s="111"/>
      <c r="J860" s="115"/>
      <c r="K860" s="107"/>
      <c r="L860" s="49"/>
      <c r="M860" s="107"/>
      <c r="N860" s="116"/>
    </row>
    <row r="861">
      <c r="C861" s="107"/>
      <c r="D861" s="108"/>
      <c r="E861" s="114"/>
      <c r="F861" s="107"/>
      <c r="H861" s="111"/>
      <c r="I861" s="111"/>
      <c r="J861" s="115"/>
      <c r="K861" s="107"/>
      <c r="L861" s="49"/>
      <c r="M861" s="107"/>
      <c r="N861" s="116"/>
    </row>
    <row r="862">
      <c r="C862" s="107"/>
      <c r="D862" s="108"/>
      <c r="E862" s="114"/>
      <c r="F862" s="107"/>
      <c r="H862" s="111"/>
      <c r="I862" s="111"/>
      <c r="J862" s="115"/>
      <c r="K862" s="107"/>
      <c r="L862" s="49"/>
      <c r="M862" s="107"/>
      <c r="N862" s="116"/>
    </row>
    <row r="863">
      <c r="C863" s="107"/>
      <c r="D863" s="108"/>
      <c r="E863" s="114"/>
      <c r="F863" s="107"/>
      <c r="H863" s="111"/>
      <c r="I863" s="111"/>
      <c r="J863" s="115"/>
      <c r="K863" s="107"/>
      <c r="L863" s="49"/>
      <c r="M863" s="107"/>
      <c r="N863" s="116"/>
    </row>
    <row r="864">
      <c r="C864" s="107"/>
      <c r="D864" s="108"/>
      <c r="E864" s="114"/>
      <c r="F864" s="107"/>
      <c r="H864" s="111"/>
      <c r="I864" s="111"/>
      <c r="J864" s="115"/>
      <c r="K864" s="107"/>
      <c r="L864" s="49"/>
      <c r="M864" s="107"/>
      <c r="N864" s="116"/>
    </row>
    <row r="865">
      <c r="C865" s="107"/>
      <c r="D865" s="108"/>
      <c r="E865" s="114"/>
      <c r="F865" s="107"/>
      <c r="H865" s="111"/>
      <c r="I865" s="111"/>
      <c r="J865" s="115"/>
      <c r="K865" s="107"/>
      <c r="L865" s="49"/>
      <c r="M865" s="107"/>
      <c r="N865" s="116"/>
    </row>
    <row r="866">
      <c r="C866" s="107"/>
      <c r="D866" s="108"/>
      <c r="E866" s="114"/>
      <c r="F866" s="107"/>
      <c r="H866" s="111"/>
      <c r="I866" s="111"/>
      <c r="J866" s="115"/>
      <c r="K866" s="107"/>
      <c r="L866" s="49"/>
      <c r="M866" s="107"/>
      <c r="N866" s="116"/>
    </row>
    <row r="867">
      <c r="C867" s="107"/>
      <c r="D867" s="108"/>
      <c r="E867" s="114"/>
      <c r="F867" s="107"/>
      <c r="H867" s="111"/>
      <c r="I867" s="111"/>
      <c r="J867" s="115"/>
      <c r="K867" s="107"/>
      <c r="L867" s="49"/>
      <c r="M867" s="107"/>
      <c r="N867" s="116"/>
    </row>
    <row r="868">
      <c r="C868" s="107"/>
      <c r="D868" s="108"/>
      <c r="E868" s="114"/>
      <c r="F868" s="107"/>
      <c r="H868" s="111"/>
      <c r="I868" s="111"/>
      <c r="J868" s="115"/>
      <c r="K868" s="107"/>
      <c r="L868" s="49"/>
      <c r="M868" s="107"/>
      <c r="N868" s="116"/>
    </row>
    <row r="869">
      <c r="C869" s="107"/>
      <c r="D869" s="108"/>
      <c r="E869" s="114"/>
      <c r="F869" s="107"/>
      <c r="H869" s="111"/>
      <c r="I869" s="111"/>
      <c r="J869" s="115"/>
      <c r="K869" s="107"/>
      <c r="L869" s="49"/>
      <c r="M869" s="107"/>
      <c r="N869" s="116"/>
    </row>
    <row r="870">
      <c r="C870" s="107"/>
      <c r="D870" s="108"/>
      <c r="E870" s="114"/>
      <c r="F870" s="107"/>
      <c r="H870" s="111"/>
      <c r="I870" s="111"/>
      <c r="J870" s="115"/>
      <c r="K870" s="107"/>
      <c r="L870" s="49"/>
      <c r="M870" s="107"/>
      <c r="N870" s="116"/>
    </row>
    <row r="871">
      <c r="C871" s="107"/>
      <c r="D871" s="108"/>
      <c r="E871" s="114"/>
      <c r="F871" s="107"/>
      <c r="H871" s="111"/>
      <c r="I871" s="111"/>
      <c r="J871" s="115"/>
      <c r="K871" s="107"/>
      <c r="L871" s="49"/>
      <c r="M871" s="107"/>
      <c r="N871" s="116"/>
    </row>
    <row r="872">
      <c r="C872" s="107"/>
      <c r="D872" s="108"/>
      <c r="E872" s="114"/>
      <c r="F872" s="107"/>
      <c r="H872" s="111"/>
      <c r="I872" s="111"/>
      <c r="J872" s="115"/>
      <c r="K872" s="107"/>
      <c r="L872" s="49"/>
      <c r="M872" s="107"/>
      <c r="N872" s="116"/>
    </row>
    <row r="873">
      <c r="C873" s="107"/>
      <c r="D873" s="108"/>
      <c r="E873" s="114"/>
      <c r="F873" s="107"/>
      <c r="H873" s="111"/>
      <c r="I873" s="111"/>
      <c r="J873" s="115"/>
      <c r="K873" s="107"/>
      <c r="L873" s="49"/>
      <c r="M873" s="107"/>
      <c r="N873" s="116"/>
    </row>
    <row r="874">
      <c r="C874" s="107"/>
      <c r="D874" s="108"/>
      <c r="E874" s="114"/>
      <c r="F874" s="107"/>
      <c r="H874" s="111"/>
      <c r="I874" s="111"/>
      <c r="J874" s="115"/>
      <c r="K874" s="107"/>
      <c r="L874" s="49"/>
      <c r="M874" s="107"/>
      <c r="N874" s="116"/>
    </row>
    <row r="875">
      <c r="C875" s="107"/>
      <c r="D875" s="108"/>
      <c r="E875" s="114"/>
      <c r="F875" s="107"/>
      <c r="H875" s="111"/>
      <c r="I875" s="111"/>
      <c r="J875" s="115"/>
      <c r="K875" s="107"/>
      <c r="L875" s="49"/>
      <c r="M875" s="107"/>
      <c r="N875" s="116"/>
    </row>
    <row r="876">
      <c r="C876" s="107"/>
      <c r="D876" s="108"/>
      <c r="E876" s="114"/>
      <c r="F876" s="107"/>
      <c r="H876" s="111"/>
      <c r="I876" s="111"/>
      <c r="J876" s="115"/>
      <c r="K876" s="107"/>
      <c r="L876" s="49"/>
      <c r="M876" s="107"/>
      <c r="N876" s="116"/>
    </row>
    <row r="877">
      <c r="C877" s="107"/>
      <c r="D877" s="108"/>
      <c r="E877" s="114"/>
      <c r="F877" s="107"/>
      <c r="H877" s="111"/>
      <c r="I877" s="111"/>
      <c r="J877" s="115"/>
      <c r="K877" s="107"/>
      <c r="L877" s="49"/>
      <c r="M877" s="107"/>
      <c r="N877" s="116"/>
    </row>
    <row r="878">
      <c r="C878" s="107"/>
      <c r="D878" s="108"/>
      <c r="E878" s="114"/>
      <c r="F878" s="107"/>
      <c r="H878" s="111"/>
      <c r="I878" s="111"/>
      <c r="J878" s="115"/>
      <c r="K878" s="107"/>
      <c r="L878" s="49"/>
      <c r="M878" s="107"/>
      <c r="N878" s="116"/>
    </row>
    <row r="879">
      <c r="C879" s="107"/>
      <c r="D879" s="108"/>
      <c r="E879" s="114"/>
      <c r="F879" s="107"/>
      <c r="H879" s="111"/>
      <c r="I879" s="111"/>
      <c r="J879" s="115"/>
      <c r="K879" s="107"/>
      <c r="L879" s="49"/>
      <c r="M879" s="107"/>
      <c r="N879" s="116"/>
    </row>
    <row r="880">
      <c r="C880" s="107"/>
      <c r="D880" s="108"/>
      <c r="E880" s="114"/>
      <c r="F880" s="107"/>
      <c r="H880" s="111"/>
      <c r="I880" s="111"/>
      <c r="J880" s="115"/>
      <c r="K880" s="107"/>
      <c r="L880" s="49"/>
      <c r="M880" s="107"/>
      <c r="N880" s="116"/>
    </row>
    <row r="881">
      <c r="C881" s="107"/>
      <c r="D881" s="108"/>
      <c r="E881" s="114"/>
      <c r="F881" s="107"/>
      <c r="H881" s="111"/>
      <c r="I881" s="111"/>
      <c r="J881" s="115"/>
      <c r="K881" s="107"/>
      <c r="L881" s="49"/>
      <c r="M881" s="107"/>
      <c r="N881" s="116"/>
    </row>
    <row r="882">
      <c r="C882" s="107"/>
      <c r="D882" s="108"/>
      <c r="E882" s="114"/>
      <c r="F882" s="107"/>
      <c r="H882" s="111"/>
      <c r="I882" s="111"/>
      <c r="J882" s="115"/>
      <c r="K882" s="107"/>
      <c r="L882" s="49"/>
      <c r="M882" s="107"/>
      <c r="N882" s="116"/>
    </row>
    <row r="883">
      <c r="C883" s="107"/>
      <c r="D883" s="108"/>
      <c r="E883" s="114"/>
      <c r="F883" s="107"/>
      <c r="H883" s="111"/>
      <c r="I883" s="111"/>
      <c r="J883" s="115"/>
      <c r="K883" s="107"/>
      <c r="L883" s="49"/>
      <c r="M883" s="107"/>
      <c r="N883" s="116"/>
    </row>
    <row r="884">
      <c r="C884" s="107"/>
      <c r="D884" s="108"/>
      <c r="E884" s="114"/>
      <c r="F884" s="107"/>
      <c r="H884" s="111"/>
      <c r="I884" s="111"/>
      <c r="J884" s="115"/>
      <c r="K884" s="107"/>
      <c r="L884" s="49"/>
      <c r="M884" s="107"/>
      <c r="N884" s="116"/>
    </row>
    <row r="885">
      <c r="C885" s="107"/>
      <c r="D885" s="108"/>
      <c r="E885" s="114"/>
      <c r="F885" s="107"/>
      <c r="H885" s="111"/>
      <c r="I885" s="111"/>
      <c r="J885" s="115"/>
      <c r="K885" s="107"/>
      <c r="L885" s="49"/>
      <c r="M885" s="107"/>
      <c r="N885" s="116"/>
    </row>
    <row r="886">
      <c r="C886" s="107"/>
      <c r="D886" s="108"/>
      <c r="E886" s="114"/>
      <c r="F886" s="107"/>
      <c r="H886" s="111"/>
      <c r="I886" s="111"/>
      <c r="J886" s="115"/>
      <c r="K886" s="107"/>
      <c r="L886" s="49"/>
      <c r="M886" s="107"/>
      <c r="N886" s="116"/>
    </row>
    <row r="887">
      <c r="C887" s="107"/>
      <c r="D887" s="108"/>
      <c r="E887" s="114"/>
      <c r="F887" s="107"/>
      <c r="H887" s="111"/>
      <c r="I887" s="111"/>
      <c r="J887" s="115"/>
      <c r="K887" s="107"/>
      <c r="L887" s="49"/>
      <c r="M887" s="107"/>
      <c r="N887" s="116"/>
    </row>
    <row r="888">
      <c r="C888" s="107"/>
      <c r="D888" s="108"/>
      <c r="E888" s="114"/>
      <c r="F888" s="107"/>
      <c r="H888" s="111"/>
      <c r="I888" s="111"/>
      <c r="J888" s="115"/>
      <c r="K888" s="107"/>
      <c r="L888" s="49"/>
      <c r="M888" s="107"/>
      <c r="N888" s="116"/>
    </row>
    <row r="889">
      <c r="C889" s="107"/>
      <c r="D889" s="108"/>
      <c r="E889" s="114"/>
      <c r="F889" s="107"/>
      <c r="H889" s="111"/>
      <c r="I889" s="111"/>
      <c r="J889" s="115"/>
      <c r="K889" s="107"/>
      <c r="L889" s="49"/>
      <c r="M889" s="107"/>
      <c r="N889" s="116"/>
    </row>
    <row r="890">
      <c r="C890" s="107"/>
      <c r="D890" s="108"/>
      <c r="E890" s="114"/>
      <c r="F890" s="107"/>
      <c r="H890" s="111"/>
      <c r="I890" s="111"/>
      <c r="J890" s="115"/>
      <c r="K890" s="107"/>
      <c r="L890" s="49"/>
      <c r="M890" s="107"/>
      <c r="N890" s="116"/>
    </row>
    <row r="891">
      <c r="C891" s="107"/>
      <c r="D891" s="108"/>
      <c r="E891" s="114"/>
      <c r="F891" s="107"/>
      <c r="H891" s="111"/>
      <c r="I891" s="111"/>
      <c r="J891" s="115"/>
      <c r="K891" s="107"/>
      <c r="L891" s="49"/>
      <c r="M891" s="107"/>
      <c r="N891" s="116"/>
    </row>
    <row r="892">
      <c r="C892" s="107"/>
      <c r="D892" s="108"/>
      <c r="E892" s="114"/>
      <c r="F892" s="107"/>
      <c r="H892" s="111"/>
      <c r="I892" s="111"/>
      <c r="J892" s="115"/>
      <c r="K892" s="107"/>
      <c r="L892" s="49"/>
      <c r="M892" s="107"/>
      <c r="N892" s="116"/>
    </row>
    <row r="893">
      <c r="C893" s="107"/>
      <c r="D893" s="108"/>
      <c r="E893" s="114"/>
      <c r="F893" s="107"/>
      <c r="H893" s="111"/>
      <c r="I893" s="111"/>
      <c r="J893" s="115"/>
      <c r="K893" s="107"/>
      <c r="L893" s="49"/>
      <c r="M893" s="107"/>
      <c r="N893" s="116"/>
    </row>
    <row r="894">
      <c r="C894" s="107"/>
      <c r="D894" s="108"/>
      <c r="E894" s="114"/>
      <c r="F894" s="107"/>
      <c r="H894" s="111"/>
      <c r="I894" s="111"/>
      <c r="J894" s="115"/>
      <c r="K894" s="107"/>
      <c r="L894" s="49"/>
      <c r="M894" s="107"/>
      <c r="N894" s="116"/>
    </row>
    <row r="895">
      <c r="C895" s="107"/>
      <c r="D895" s="108"/>
      <c r="E895" s="114"/>
      <c r="F895" s="107"/>
      <c r="H895" s="111"/>
      <c r="I895" s="111"/>
      <c r="J895" s="115"/>
      <c r="K895" s="107"/>
      <c r="L895" s="49"/>
      <c r="M895" s="107"/>
      <c r="N895" s="116"/>
    </row>
    <row r="896">
      <c r="C896" s="107"/>
      <c r="D896" s="108"/>
      <c r="E896" s="114"/>
      <c r="F896" s="107"/>
      <c r="H896" s="111"/>
      <c r="I896" s="111"/>
      <c r="J896" s="115"/>
      <c r="K896" s="107"/>
      <c r="L896" s="49"/>
      <c r="M896" s="107"/>
      <c r="N896" s="116"/>
    </row>
    <row r="897">
      <c r="C897" s="107"/>
      <c r="D897" s="108"/>
      <c r="E897" s="114"/>
      <c r="F897" s="107"/>
      <c r="H897" s="111"/>
      <c r="I897" s="111"/>
      <c r="J897" s="115"/>
      <c r="K897" s="107"/>
      <c r="L897" s="49"/>
      <c r="M897" s="107"/>
      <c r="N897" s="116"/>
    </row>
    <row r="898">
      <c r="C898" s="107"/>
      <c r="D898" s="108"/>
      <c r="E898" s="114"/>
      <c r="F898" s="107"/>
      <c r="H898" s="111"/>
      <c r="I898" s="111"/>
      <c r="J898" s="115"/>
      <c r="K898" s="107"/>
      <c r="L898" s="49"/>
      <c r="M898" s="107"/>
      <c r="N898" s="116"/>
    </row>
    <row r="899">
      <c r="C899" s="107"/>
      <c r="D899" s="108"/>
      <c r="E899" s="114"/>
      <c r="F899" s="107"/>
      <c r="H899" s="111"/>
      <c r="I899" s="111"/>
      <c r="J899" s="115"/>
      <c r="K899" s="107"/>
      <c r="L899" s="49"/>
      <c r="M899" s="107"/>
      <c r="N899" s="116"/>
    </row>
    <row r="900">
      <c r="C900" s="107"/>
      <c r="D900" s="108"/>
      <c r="E900" s="114"/>
      <c r="F900" s="107"/>
      <c r="H900" s="111"/>
      <c r="I900" s="111"/>
      <c r="J900" s="115"/>
      <c r="K900" s="107"/>
      <c r="L900" s="49"/>
      <c r="M900" s="107"/>
      <c r="N900" s="116"/>
    </row>
    <row r="901">
      <c r="C901" s="107"/>
      <c r="D901" s="108"/>
      <c r="E901" s="114"/>
      <c r="F901" s="107"/>
      <c r="H901" s="111"/>
      <c r="I901" s="111"/>
      <c r="J901" s="115"/>
      <c r="K901" s="107"/>
      <c r="L901" s="49"/>
      <c r="M901" s="107"/>
      <c r="N901" s="116"/>
    </row>
    <row r="902">
      <c r="C902" s="107"/>
      <c r="D902" s="108"/>
      <c r="E902" s="114"/>
      <c r="F902" s="107"/>
      <c r="H902" s="111"/>
      <c r="I902" s="111"/>
      <c r="J902" s="115"/>
      <c r="K902" s="107"/>
      <c r="L902" s="49"/>
      <c r="M902" s="107"/>
      <c r="N902" s="116"/>
    </row>
    <row r="903">
      <c r="C903" s="107"/>
      <c r="D903" s="108"/>
      <c r="E903" s="114"/>
      <c r="F903" s="107"/>
      <c r="H903" s="111"/>
      <c r="I903" s="111"/>
      <c r="J903" s="115"/>
      <c r="K903" s="107"/>
      <c r="L903" s="49"/>
      <c r="M903" s="107"/>
      <c r="N903" s="116"/>
    </row>
    <row r="904">
      <c r="C904" s="107"/>
      <c r="D904" s="108"/>
      <c r="E904" s="114"/>
      <c r="F904" s="107"/>
      <c r="H904" s="111"/>
      <c r="I904" s="111"/>
      <c r="J904" s="115"/>
      <c r="K904" s="107"/>
      <c r="L904" s="49"/>
      <c r="M904" s="107"/>
      <c r="N904" s="116"/>
    </row>
    <row r="905">
      <c r="C905" s="107"/>
      <c r="D905" s="108"/>
      <c r="E905" s="114"/>
      <c r="F905" s="107"/>
      <c r="H905" s="111"/>
      <c r="I905" s="111"/>
      <c r="J905" s="115"/>
      <c r="K905" s="107"/>
      <c r="L905" s="49"/>
      <c r="M905" s="107"/>
      <c r="N905" s="116"/>
    </row>
    <row r="906">
      <c r="C906" s="107"/>
      <c r="D906" s="108"/>
      <c r="E906" s="114"/>
      <c r="F906" s="107"/>
      <c r="H906" s="111"/>
      <c r="I906" s="111"/>
      <c r="J906" s="115"/>
      <c r="K906" s="107"/>
      <c r="L906" s="49"/>
      <c r="M906" s="107"/>
      <c r="N906" s="116"/>
    </row>
    <row r="907">
      <c r="C907" s="107"/>
      <c r="D907" s="108"/>
      <c r="E907" s="114"/>
      <c r="F907" s="107"/>
      <c r="H907" s="111"/>
      <c r="I907" s="111"/>
      <c r="J907" s="115"/>
      <c r="K907" s="107"/>
      <c r="L907" s="49"/>
      <c r="M907" s="107"/>
      <c r="N907" s="116"/>
    </row>
    <row r="908">
      <c r="C908" s="107"/>
      <c r="D908" s="108"/>
      <c r="E908" s="114"/>
      <c r="F908" s="107"/>
      <c r="H908" s="111"/>
      <c r="I908" s="111"/>
      <c r="J908" s="115"/>
      <c r="K908" s="107"/>
      <c r="L908" s="49"/>
      <c r="M908" s="107"/>
      <c r="N908" s="116"/>
    </row>
    <row r="909">
      <c r="C909" s="107"/>
      <c r="D909" s="108"/>
      <c r="E909" s="114"/>
      <c r="F909" s="107"/>
      <c r="H909" s="111"/>
      <c r="I909" s="111"/>
      <c r="J909" s="115"/>
      <c r="K909" s="107"/>
      <c r="L909" s="49"/>
      <c r="M909" s="107"/>
      <c r="N909" s="116"/>
    </row>
    <row r="910">
      <c r="C910" s="107"/>
      <c r="D910" s="108"/>
      <c r="E910" s="114"/>
      <c r="F910" s="107"/>
      <c r="H910" s="111"/>
      <c r="I910" s="111"/>
      <c r="J910" s="115"/>
      <c r="K910" s="107"/>
      <c r="L910" s="49"/>
      <c r="M910" s="107"/>
      <c r="N910" s="116"/>
    </row>
    <row r="911">
      <c r="C911" s="107"/>
      <c r="D911" s="108"/>
      <c r="E911" s="114"/>
      <c r="F911" s="107"/>
      <c r="H911" s="111"/>
      <c r="I911" s="111"/>
      <c r="J911" s="115"/>
      <c r="K911" s="107"/>
      <c r="L911" s="49"/>
      <c r="M911" s="107"/>
      <c r="N911" s="116"/>
    </row>
    <row r="912">
      <c r="C912" s="107"/>
      <c r="D912" s="108"/>
      <c r="E912" s="114"/>
      <c r="F912" s="107"/>
      <c r="H912" s="111"/>
      <c r="I912" s="111"/>
      <c r="J912" s="115"/>
      <c r="K912" s="107"/>
      <c r="L912" s="49"/>
      <c r="M912" s="107"/>
      <c r="N912" s="116"/>
    </row>
    <row r="913">
      <c r="C913" s="107"/>
      <c r="D913" s="108"/>
      <c r="E913" s="114"/>
      <c r="F913" s="107"/>
      <c r="H913" s="111"/>
      <c r="I913" s="111"/>
      <c r="J913" s="115"/>
      <c r="K913" s="107"/>
      <c r="L913" s="49"/>
      <c r="M913" s="107"/>
      <c r="N913" s="116"/>
    </row>
    <row r="914">
      <c r="C914" s="107"/>
      <c r="D914" s="108"/>
      <c r="E914" s="114"/>
      <c r="F914" s="107"/>
      <c r="H914" s="111"/>
      <c r="I914" s="111"/>
      <c r="J914" s="115"/>
      <c r="K914" s="107"/>
      <c r="L914" s="49"/>
      <c r="M914" s="107"/>
      <c r="N914" s="116"/>
    </row>
    <row r="915">
      <c r="C915" s="107"/>
      <c r="D915" s="108"/>
      <c r="E915" s="114"/>
      <c r="F915" s="107"/>
      <c r="H915" s="111"/>
      <c r="I915" s="111"/>
      <c r="J915" s="115"/>
      <c r="K915" s="107"/>
      <c r="L915" s="49"/>
      <c r="M915" s="107"/>
      <c r="N915" s="116"/>
    </row>
    <row r="916">
      <c r="C916" s="107"/>
      <c r="D916" s="108"/>
      <c r="E916" s="114"/>
      <c r="F916" s="107"/>
      <c r="H916" s="111"/>
      <c r="I916" s="111"/>
      <c r="J916" s="115"/>
      <c r="K916" s="107"/>
      <c r="L916" s="49"/>
      <c r="M916" s="107"/>
      <c r="N916" s="116"/>
    </row>
    <row r="917">
      <c r="C917" s="107"/>
      <c r="D917" s="108"/>
      <c r="E917" s="114"/>
      <c r="F917" s="107"/>
      <c r="H917" s="111"/>
      <c r="I917" s="111"/>
      <c r="J917" s="115"/>
      <c r="K917" s="107"/>
      <c r="L917" s="49"/>
      <c r="M917" s="107"/>
      <c r="N917" s="116"/>
    </row>
    <row r="918">
      <c r="C918" s="107"/>
      <c r="D918" s="108"/>
      <c r="E918" s="114"/>
      <c r="F918" s="107"/>
      <c r="H918" s="111"/>
      <c r="I918" s="111"/>
      <c r="J918" s="115"/>
      <c r="K918" s="107"/>
      <c r="L918" s="49"/>
      <c r="M918" s="107"/>
      <c r="N918" s="116"/>
    </row>
    <row r="919">
      <c r="C919" s="107"/>
      <c r="D919" s="108"/>
      <c r="E919" s="114"/>
      <c r="F919" s="107"/>
      <c r="H919" s="111"/>
      <c r="I919" s="111"/>
      <c r="J919" s="115"/>
      <c r="K919" s="107"/>
      <c r="L919" s="49"/>
      <c r="M919" s="107"/>
      <c r="N919" s="116"/>
    </row>
    <row r="920">
      <c r="C920" s="107"/>
      <c r="D920" s="108"/>
      <c r="E920" s="114"/>
      <c r="F920" s="107"/>
      <c r="H920" s="111"/>
      <c r="I920" s="111"/>
      <c r="J920" s="115"/>
      <c r="K920" s="107"/>
      <c r="L920" s="49"/>
      <c r="M920" s="107"/>
      <c r="N920" s="116"/>
    </row>
    <row r="921">
      <c r="C921" s="107"/>
      <c r="D921" s="108"/>
      <c r="E921" s="114"/>
      <c r="F921" s="107"/>
      <c r="H921" s="111"/>
      <c r="I921" s="111"/>
      <c r="J921" s="115"/>
      <c r="K921" s="107"/>
      <c r="L921" s="49"/>
      <c r="M921" s="107"/>
      <c r="N921" s="116"/>
    </row>
    <row r="922">
      <c r="C922" s="107"/>
      <c r="D922" s="108"/>
      <c r="E922" s="114"/>
      <c r="F922" s="107"/>
      <c r="H922" s="111"/>
      <c r="I922" s="111"/>
      <c r="J922" s="115"/>
      <c r="K922" s="107"/>
      <c r="L922" s="49"/>
      <c r="M922" s="107"/>
      <c r="N922" s="116"/>
    </row>
    <row r="923">
      <c r="C923" s="107"/>
      <c r="D923" s="108"/>
      <c r="E923" s="114"/>
      <c r="F923" s="107"/>
      <c r="H923" s="111"/>
      <c r="I923" s="111"/>
      <c r="J923" s="115"/>
      <c r="K923" s="107"/>
      <c r="L923" s="49"/>
      <c r="M923" s="107"/>
      <c r="N923" s="116"/>
    </row>
    <row r="924">
      <c r="C924" s="107"/>
      <c r="D924" s="108"/>
      <c r="E924" s="114"/>
      <c r="F924" s="107"/>
      <c r="H924" s="111"/>
      <c r="I924" s="111"/>
      <c r="J924" s="115"/>
      <c r="K924" s="107"/>
      <c r="L924" s="49"/>
      <c r="M924" s="107"/>
      <c r="N924" s="116"/>
    </row>
    <row r="925">
      <c r="C925" s="107"/>
      <c r="D925" s="108"/>
      <c r="E925" s="114"/>
      <c r="F925" s="107"/>
      <c r="H925" s="111"/>
      <c r="I925" s="111"/>
      <c r="J925" s="115"/>
      <c r="K925" s="107"/>
      <c r="L925" s="49"/>
      <c r="M925" s="107"/>
      <c r="N925" s="116"/>
    </row>
    <row r="926">
      <c r="C926" s="107"/>
      <c r="D926" s="108"/>
      <c r="E926" s="114"/>
      <c r="F926" s="107"/>
      <c r="H926" s="111"/>
      <c r="I926" s="111"/>
      <c r="J926" s="115"/>
      <c r="K926" s="107"/>
      <c r="L926" s="49"/>
      <c r="M926" s="107"/>
      <c r="N926" s="116"/>
    </row>
    <row r="927">
      <c r="C927" s="107"/>
      <c r="D927" s="108"/>
      <c r="E927" s="114"/>
      <c r="F927" s="107"/>
      <c r="H927" s="111"/>
      <c r="I927" s="111"/>
      <c r="J927" s="115"/>
      <c r="K927" s="107"/>
      <c r="L927" s="49"/>
      <c r="M927" s="107"/>
      <c r="N927" s="116"/>
    </row>
    <row r="928">
      <c r="C928" s="107"/>
      <c r="D928" s="108"/>
      <c r="E928" s="114"/>
      <c r="F928" s="107"/>
      <c r="H928" s="111"/>
      <c r="I928" s="111"/>
      <c r="J928" s="115"/>
      <c r="K928" s="107"/>
      <c r="L928" s="49"/>
      <c r="M928" s="107"/>
      <c r="N928" s="116"/>
    </row>
    <row r="929">
      <c r="C929" s="107"/>
      <c r="D929" s="108"/>
      <c r="E929" s="114"/>
      <c r="F929" s="107"/>
      <c r="H929" s="111"/>
      <c r="I929" s="111"/>
      <c r="J929" s="115"/>
      <c r="K929" s="107"/>
      <c r="L929" s="49"/>
      <c r="M929" s="107"/>
      <c r="N929" s="116"/>
    </row>
    <row r="930">
      <c r="C930" s="107"/>
      <c r="D930" s="108"/>
      <c r="E930" s="114"/>
      <c r="F930" s="107"/>
      <c r="H930" s="111"/>
      <c r="I930" s="111"/>
      <c r="J930" s="115"/>
      <c r="K930" s="107"/>
      <c r="L930" s="49"/>
      <c r="M930" s="107"/>
      <c r="N930" s="116"/>
    </row>
    <row r="931">
      <c r="C931" s="107"/>
      <c r="D931" s="108"/>
      <c r="E931" s="114"/>
      <c r="F931" s="107"/>
      <c r="H931" s="111"/>
      <c r="I931" s="111"/>
      <c r="J931" s="115"/>
      <c r="K931" s="107"/>
      <c r="L931" s="49"/>
      <c r="M931" s="107"/>
      <c r="N931" s="116"/>
    </row>
    <row r="932">
      <c r="C932" s="107"/>
      <c r="D932" s="108"/>
      <c r="E932" s="114"/>
      <c r="F932" s="107"/>
      <c r="H932" s="111"/>
      <c r="I932" s="111"/>
      <c r="J932" s="115"/>
      <c r="K932" s="107"/>
      <c r="L932" s="49"/>
      <c r="M932" s="107"/>
      <c r="N932" s="116"/>
    </row>
    <row r="933">
      <c r="C933" s="107"/>
      <c r="D933" s="108"/>
      <c r="E933" s="114"/>
      <c r="F933" s="107"/>
      <c r="H933" s="111"/>
      <c r="I933" s="111"/>
      <c r="J933" s="115"/>
      <c r="K933" s="107"/>
      <c r="L933" s="49"/>
      <c r="M933" s="107"/>
      <c r="N933" s="116"/>
    </row>
    <row r="934">
      <c r="C934" s="107"/>
      <c r="D934" s="108"/>
      <c r="E934" s="114"/>
      <c r="F934" s="107"/>
      <c r="H934" s="111"/>
      <c r="I934" s="111"/>
      <c r="J934" s="115"/>
      <c r="K934" s="107"/>
      <c r="L934" s="49"/>
      <c r="M934" s="107"/>
      <c r="N934" s="116"/>
    </row>
    <row r="935">
      <c r="C935" s="107"/>
      <c r="D935" s="108"/>
      <c r="E935" s="114"/>
      <c r="F935" s="107"/>
      <c r="H935" s="111"/>
      <c r="I935" s="111"/>
      <c r="J935" s="115"/>
      <c r="K935" s="107"/>
      <c r="L935" s="49"/>
      <c r="M935" s="107"/>
      <c r="N935" s="116"/>
    </row>
    <row r="936">
      <c r="C936" s="107"/>
      <c r="D936" s="108"/>
      <c r="E936" s="114"/>
      <c r="F936" s="107"/>
      <c r="H936" s="111"/>
      <c r="I936" s="111"/>
      <c r="J936" s="115"/>
      <c r="K936" s="107"/>
      <c r="L936" s="49"/>
      <c r="M936" s="107"/>
      <c r="N936" s="116"/>
    </row>
    <row r="937">
      <c r="C937" s="107"/>
      <c r="D937" s="108"/>
      <c r="E937" s="114"/>
      <c r="F937" s="107"/>
      <c r="H937" s="111"/>
      <c r="I937" s="111"/>
      <c r="J937" s="115"/>
      <c r="K937" s="107"/>
      <c r="L937" s="49"/>
      <c r="M937" s="107"/>
      <c r="N937" s="116"/>
    </row>
    <row r="938">
      <c r="C938" s="107"/>
      <c r="D938" s="108"/>
      <c r="E938" s="114"/>
      <c r="F938" s="107"/>
      <c r="H938" s="111"/>
      <c r="I938" s="111"/>
      <c r="J938" s="115"/>
      <c r="K938" s="107"/>
      <c r="L938" s="49"/>
      <c r="M938" s="107"/>
      <c r="N938" s="116"/>
    </row>
    <row r="939">
      <c r="C939" s="107"/>
      <c r="D939" s="108"/>
      <c r="E939" s="114"/>
      <c r="F939" s="107"/>
      <c r="H939" s="111"/>
      <c r="I939" s="111"/>
      <c r="J939" s="115"/>
      <c r="K939" s="107"/>
      <c r="L939" s="49"/>
      <c r="M939" s="107"/>
      <c r="N939" s="116"/>
    </row>
    <row r="940">
      <c r="C940" s="107"/>
      <c r="D940" s="108"/>
      <c r="E940" s="114"/>
      <c r="F940" s="107"/>
      <c r="H940" s="111"/>
      <c r="I940" s="111"/>
      <c r="J940" s="115"/>
      <c r="K940" s="107"/>
      <c r="L940" s="49"/>
      <c r="M940" s="107"/>
      <c r="N940" s="116"/>
    </row>
    <row r="941">
      <c r="C941" s="107"/>
      <c r="D941" s="108"/>
      <c r="E941" s="114"/>
      <c r="F941" s="107"/>
      <c r="H941" s="111"/>
      <c r="I941" s="111"/>
      <c r="J941" s="115"/>
      <c r="K941" s="107"/>
      <c r="L941" s="49"/>
      <c r="M941" s="107"/>
      <c r="N941" s="116"/>
    </row>
    <row r="942">
      <c r="C942" s="107"/>
      <c r="D942" s="108"/>
      <c r="E942" s="114"/>
      <c r="F942" s="107"/>
      <c r="H942" s="111"/>
      <c r="I942" s="111"/>
      <c r="J942" s="115"/>
      <c r="K942" s="107"/>
      <c r="L942" s="49"/>
      <c r="M942" s="107"/>
      <c r="N942" s="116"/>
    </row>
    <row r="943">
      <c r="C943" s="107"/>
      <c r="D943" s="108"/>
      <c r="E943" s="114"/>
      <c r="F943" s="107"/>
      <c r="H943" s="111"/>
      <c r="I943" s="111"/>
      <c r="J943" s="115"/>
      <c r="K943" s="107"/>
      <c r="L943" s="49"/>
      <c r="M943" s="107"/>
      <c r="N943" s="116"/>
    </row>
    <row r="944">
      <c r="C944" s="107"/>
      <c r="D944" s="108"/>
      <c r="E944" s="114"/>
      <c r="F944" s="107"/>
      <c r="H944" s="111"/>
      <c r="I944" s="111"/>
      <c r="J944" s="115"/>
      <c r="K944" s="107"/>
      <c r="L944" s="49"/>
      <c r="M944" s="107"/>
      <c r="N944" s="116"/>
    </row>
    <row r="945">
      <c r="C945" s="107"/>
      <c r="D945" s="108"/>
      <c r="E945" s="114"/>
      <c r="F945" s="107"/>
      <c r="H945" s="111"/>
      <c r="I945" s="111"/>
      <c r="J945" s="115"/>
      <c r="K945" s="107"/>
      <c r="L945" s="49"/>
      <c r="M945" s="107"/>
      <c r="N945" s="116"/>
    </row>
    <row r="946">
      <c r="C946" s="107"/>
      <c r="D946" s="108"/>
      <c r="E946" s="114"/>
      <c r="F946" s="107"/>
      <c r="H946" s="111"/>
      <c r="I946" s="111"/>
      <c r="J946" s="115"/>
      <c r="K946" s="107"/>
      <c r="L946" s="49"/>
      <c r="M946" s="107"/>
      <c r="N946" s="116"/>
    </row>
    <row r="947">
      <c r="C947" s="107"/>
      <c r="D947" s="108"/>
      <c r="E947" s="114"/>
      <c r="F947" s="107"/>
      <c r="H947" s="111"/>
      <c r="I947" s="111"/>
      <c r="J947" s="115"/>
      <c r="K947" s="107"/>
      <c r="L947" s="49"/>
      <c r="M947" s="107"/>
      <c r="N947" s="116"/>
    </row>
    <row r="948">
      <c r="C948" s="107"/>
      <c r="D948" s="108"/>
      <c r="E948" s="114"/>
      <c r="F948" s="107"/>
      <c r="H948" s="111"/>
      <c r="I948" s="111"/>
      <c r="J948" s="115"/>
      <c r="K948" s="107"/>
      <c r="L948" s="49"/>
      <c r="M948" s="107"/>
      <c r="N948" s="116"/>
    </row>
    <row r="949">
      <c r="C949" s="107"/>
      <c r="D949" s="108"/>
      <c r="E949" s="114"/>
      <c r="F949" s="107"/>
      <c r="H949" s="111"/>
      <c r="I949" s="111"/>
      <c r="J949" s="115"/>
      <c r="K949" s="107"/>
      <c r="L949" s="49"/>
      <c r="M949" s="107"/>
      <c r="N949" s="116"/>
    </row>
    <row r="950">
      <c r="C950" s="107"/>
      <c r="D950" s="108"/>
      <c r="E950" s="114"/>
      <c r="F950" s="107"/>
      <c r="H950" s="111"/>
      <c r="I950" s="111"/>
      <c r="J950" s="115"/>
      <c r="K950" s="107"/>
      <c r="L950" s="49"/>
      <c r="M950" s="107"/>
      <c r="N950" s="116"/>
    </row>
    <row r="951">
      <c r="C951" s="107"/>
      <c r="D951" s="108"/>
      <c r="E951" s="114"/>
      <c r="F951" s="107"/>
      <c r="H951" s="111"/>
      <c r="I951" s="111"/>
      <c r="J951" s="115"/>
      <c r="K951" s="107"/>
      <c r="L951" s="49"/>
      <c r="M951" s="107"/>
      <c r="N951" s="116"/>
    </row>
    <row r="952">
      <c r="C952" s="107"/>
      <c r="D952" s="108"/>
      <c r="E952" s="114"/>
      <c r="F952" s="107"/>
      <c r="H952" s="111"/>
      <c r="I952" s="111"/>
      <c r="J952" s="115"/>
      <c r="K952" s="107"/>
      <c r="L952" s="49"/>
      <c r="M952" s="107"/>
      <c r="N952" s="116"/>
    </row>
    <row r="953">
      <c r="C953" s="107"/>
      <c r="D953" s="108"/>
      <c r="E953" s="114"/>
      <c r="F953" s="107"/>
      <c r="H953" s="111"/>
      <c r="I953" s="111"/>
      <c r="J953" s="115"/>
      <c r="K953" s="107"/>
      <c r="L953" s="49"/>
      <c r="M953" s="107"/>
      <c r="N953" s="116"/>
    </row>
    <row r="954">
      <c r="C954" s="107"/>
      <c r="D954" s="108"/>
      <c r="E954" s="114"/>
      <c r="F954" s="107"/>
      <c r="H954" s="111"/>
      <c r="I954" s="111"/>
      <c r="J954" s="115"/>
      <c r="K954" s="107"/>
      <c r="L954" s="49"/>
      <c r="M954" s="107"/>
      <c r="N954" s="116"/>
    </row>
    <row r="955">
      <c r="C955" s="107"/>
      <c r="D955" s="108"/>
      <c r="E955" s="114"/>
      <c r="F955" s="107"/>
      <c r="H955" s="111"/>
      <c r="I955" s="111"/>
      <c r="J955" s="115"/>
      <c r="K955" s="107"/>
      <c r="L955" s="49"/>
      <c r="M955" s="107"/>
      <c r="N955" s="116"/>
    </row>
    <row r="956">
      <c r="C956" s="107"/>
      <c r="D956" s="108"/>
      <c r="E956" s="114"/>
      <c r="F956" s="107"/>
      <c r="H956" s="111"/>
      <c r="I956" s="111"/>
      <c r="J956" s="115"/>
      <c r="K956" s="107"/>
      <c r="L956" s="49"/>
      <c r="M956" s="107"/>
      <c r="N956" s="116"/>
    </row>
    <row r="957">
      <c r="C957" s="107"/>
      <c r="D957" s="108"/>
      <c r="E957" s="114"/>
      <c r="F957" s="107"/>
      <c r="H957" s="111"/>
      <c r="I957" s="111"/>
      <c r="J957" s="115"/>
      <c r="K957" s="107"/>
      <c r="L957" s="49"/>
      <c r="M957" s="107"/>
      <c r="N957" s="116"/>
    </row>
    <row r="958">
      <c r="C958" s="107"/>
      <c r="D958" s="108"/>
      <c r="E958" s="114"/>
      <c r="F958" s="107"/>
      <c r="H958" s="111"/>
      <c r="I958" s="111"/>
      <c r="J958" s="115"/>
      <c r="K958" s="107"/>
      <c r="L958" s="49"/>
      <c r="M958" s="107"/>
      <c r="N958" s="116"/>
    </row>
    <row r="959">
      <c r="C959" s="107"/>
      <c r="D959" s="108"/>
      <c r="E959" s="114"/>
      <c r="F959" s="107"/>
      <c r="H959" s="111"/>
      <c r="I959" s="111"/>
      <c r="J959" s="115"/>
      <c r="K959" s="107"/>
      <c r="L959" s="49"/>
      <c r="M959" s="107"/>
      <c r="N959" s="116"/>
    </row>
    <row r="960">
      <c r="C960" s="107"/>
      <c r="D960" s="108"/>
      <c r="E960" s="114"/>
      <c r="F960" s="107"/>
      <c r="H960" s="111"/>
      <c r="I960" s="111"/>
      <c r="J960" s="115"/>
      <c r="K960" s="107"/>
      <c r="L960" s="49"/>
      <c r="M960" s="107"/>
      <c r="N960" s="116"/>
    </row>
    <row r="961">
      <c r="C961" s="107"/>
      <c r="D961" s="108"/>
      <c r="E961" s="114"/>
      <c r="F961" s="107"/>
      <c r="H961" s="111"/>
      <c r="I961" s="111"/>
      <c r="J961" s="115"/>
      <c r="K961" s="107"/>
      <c r="L961" s="49"/>
      <c r="M961" s="107"/>
      <c r="N961" s="116"/>
    </row>
    <row r="962">
      <c r="C962" s="107"/>
      <c r="D962" s="108"/>
      <c r="E962" s="114"/>
      <c r="F962" s="107"/>
      <c r="H962" s="111"/>
      <c r="I962" s="111"/>
      <c r="J962" s="115"/>
      <c r="K962" s="107"/>
      <c r="L962" s="49"/>
      <c r="M962" s="107"/>
      <c r="N962" s="116"/>
    </row>
    <row r="963">
      <c r="C963" s="107"/>
      <c r="D963" s="108"/>
      <c r="E963" s="114"/>
      <c r="F963" s="107"/>
      <c r="H963" s="111"/>
      <c r="I963" s="111"/>
      <c r="J963" s="115"/>
      <c r="K963" s="107"/>
      <c r="L963" s="49"/>
      <c r="M963" s="107"/>
      <c r="N963" s="116"/>
    </row>
    <row r="964">
      <c r="C964" s="107"/>
      <c r="D964" s="108"/>
      <c r="E964" s="114"/>
      <c r="F964" s="107"/>
      <c r="H964" s="111"/>
      <c r="I964" s="111"/>
      <c r="J964" s="115"/>
      <c r="K964" s="107"/>
      <c r="L964" s="49"/>
      <c r="M964" s="107"/>
      <c r="N964" s="116"/>
    </row>
    <row r="965">
      <c r="C965" s="107"/>
      <c r="D965" s="108"/>
      <c r="E965" s="114"/>
      <c r="F965" s="107"/>
      <c r="H965" s="111"/>
      <c r="I965" s="111"/>
      <c r="J965" s="115"/>
      <c r="K965" s="107"/>
      <c r="L965" s="49"/>
      <c r="M965" s="107"/>
      <c r="N965" s="116"/>
    </row>
    <row r="966">
      <c r="C966" s="107"/>
      <c r="D966" s="108"/>
      <c r="E966" s="114"/>
      <c r="F966" s="107"/>
      <c r="H966" s="111"/>
      <c r="I966" s="111"/>
      <c r="J966" s="115"/>
      <c r="K966" s="107"/>
      <c r="L966" s="49"/>
      <c r="M966" s="107"/>
      <c r="N966" s="116"/>
    </row>
    <row r="967">
      <c r="C967" s="107"/>
      <c r="D967" s="108"/>
      <c r="E967" s="114"/>
      <c r="F967" s="107"/>
      <c r="H967" s="111"/>
      <c r="I967" s="111"/>
      <c r="J967" s="115"/>
      <c r="K967" s="107"/>
      <c r="L967" s="49"/>
      <c r="M967" s="107"/>
      <c r="N967" s="116"/>
    </row>
    <row r="968">
      <c r="C968" s="107"/>
      <c r="D968" s="108"/>
      <c r="E968" s="114"/>
      <c r="F968" s="107"/>
      <c r="H968" s="111"/>
      <c r="I968" s="111"/>
      <c r="J968" s="115"/>
      <c r="K968" s="107"/>
      <c r="L968" s="49"/>
      <c r="M968" s="107"/>
      <c r="N968" s="116"/>
    </row>
    <row r="969">
      <c r="C969" s="107"/>
      <c r="D969" s="108"/>
      <c r="E969" s="114"/>
      <c r="F969" s="107"/>
      <c r="H969" s="111"/>
      <c r="I969" s="111"/>
      <c r="J969" s="115"/>
      <c r="K969" s="107"/>
      <c r="L969" s="49"/>
      <c r="M969" s="107"/>
      <c r="N969" s="116"/>
    </row>
    <row r="970">
      <c r="C970" s="107"/>
      <c r="D970" s="108"/>
      <c r="E970" s="114"/>
      <c r="F970" s="107"/>
      <c r="H970" s="111"/>
      <c r="I970" s="111"/>
      <c r="J970" s="115"/>
      <c r="K970" s="107"/>
      <c r="L970" s="49"/>
      <c r="M970" s="107"/>
      <c r="N970" s="116"/>
    </row>
    <row r="971">
      <c r="C971" s="107"/>
      <c r="D971" s="108"/>
      <c r="E971" s="114"/>
      <c r="F971" s="107"/>
      <c r="H971" s="111"/>
      <c r="I971" s="111"/>
      <c r="J971" s="115"/>
      <c r="K971" s="107"/>
      <c r="L971" s="49"/>
      <c r="M971" s="107"/>
      <c r="N971" s="116"/>
    </row>
    <row r="972">
      <c r="C972" s="107"/>
      <c r="D972" s="108"/>
      <c r="E972" s="114"/>
      <c r="F972" s="107"/>
      <c r="H972" s="111"/>
      <c r="I972" s="111"/>
      <c r="J972" s="115"/>
      <c r="K972" s="107"/>
      <c r="L972" s="49"/>
      <c r="M972" s="107"/>
      <c r="N972" s="116"/>
    </row>
    <row r="973">
      <c r="C973" s="107"/>
      <c r="D973" s="108"/>
      <c r="E973" s="114"/>
      <c r="F973" s="107"/>
      <c r="H973" s="111"/>
      <c r="I973" s="111"/>
      <c r="J973" s="115"/>
      <c r="K973" s="107"/>
      <c r="L973" s="49"/>
      <c r="M973" s="107"/>
      <c r="N973" s="116"/>
    </row>
    <row r="974">
      <c r="C974" s="107"/>
      <c r="D974" s="108"/>
      <c r="E974" s="114"/>
      <c r="F974" s="107"/>
      <c r="H974" s="111"/>
      <c r="I974" s="111"/>
      <c r="J974" s="115"/>
      <c r="K974" s="107"/>
      <c r="L974" s="49"/>
      <c r="M974" s="107"/>
      <c r="N974" s="116"/>
    </row>
    <row r="975">
      <c r="C975" s="107"/>
      <c r="D975" s="108"/>
      <c r="E975" s="114"/>
      <c r="F975" s="107"/>
      <c r="H975" s="111"/>
      <c r="I975" s="111"/>
      <c r="J975" s="115"/>
      <c r="K975" s="107"/>
      <c r="L975" s="49"/>
      <c r="M975" s="107"/>
      <c r="N975" s="116"/>
    </row>
    <row r="976">
      <c r="C976" s="107"/>
      <c r="D976" s="108"/>
      <c r="E976" s="114"/>
      <c r="F976" s="107"/>
      <c r="H976" s="111"/>
      <c r="I976" s="111"/>
      <c r="J976" s="115"/>
      <c r="K976" s="107"/>
      <c r="L976" s="49"/>
      <c r="M976" s="107"/>
      <c r="N976" s="116"/>
    </row>
    <row r="977">
      <c r="C977" s="107"/>
      <c r="D977" s="108"/>
      <c r="E977" s="114"/>
      <c r="F977" s="107"/>
      <c r="H977" s="111"/>
      <c r="I977" s="111"/>
      <c r="J977" s="115"/>
      <c r="K977" s="107"/>
      <c r="L977" s="49"/>
      <c r="M977" s="107"/>
      <c r="N977" s="116"/>
    </row>
    <row r="978">
      <c r="C978" s="107"/>
      <c r="D978" s="108"/>
      <c r="E978" s="114"/>
      <c r="F978" s="107"/>
      <c r="H978" s="111"/>
      <c r="I978" s="111"/>
      <c r="J978" s="115"/>
      <c r="K978" s="107"/>
      <c r="L978" s="49"/>
      <c r="M978" s="107"/>
      <c r="N978" s="116"/>
    </row>
    <row r="979">
      <c r="C979" s="107"/>
      <c r="D979" s="108"/>
      <c r="E979" s="114"/>
      <c r="F979" s="107"/>
      <c r="H979" s="111"/>
      <c r="I979" s="111"/>
      <c r="J979" s="115"/>
      <c r="K979" s="107"/>
      <c r="L979" s="49"/>
      <c r="M979" s="107"/>
      <c r="N979" s="116"/>
    </row>
    <row r="980">
      <c r="C980" s="107"/>
      <c r="D980" s="108"/>
      <c r="E980" s="114"/>
      <c r="F980" s="107"/>
      <c r="H980" s="111"/>
      <c r="I980" s="111"/>
      <c r="J980" s="115"/>
      <c r="K980" s="107"/>
      <c r="L980" s="49"/>
      <c r="M980" s="107"/>
      <c r="N980" s="116"/>
    </row>
    <row r="981">
      <c r="C981" s="107"/>
      <c r="D981" s="108"/>
      <c r="E981" s="114"/>
      <c r="F981" s="107"/>
      <c r="H981" s="111"/>
      <c r="I981" s="111"/>
      <c r="J981" s="115"/>
      <c r="K981" s="107"/>
      <c r="L981" s="49"/>
      <c r="M981" s="107"/>
      <c r="N981" s="116"/>
    </row>
    <row r="982">
      <c r="C982" s="107"/>
      <c r="D982" s="108"/>
      <c r="E982" s="114"/>
      <c r="F982" s="107"/>
      <c r="H982" s="111"/>
      <c r="I982" s="111"/>
      <c r="J982" s="115"/>
      <c r="K982" s="107"/>
      <c r="L982" s="49"/>
      <c r="M982" s="107"/>
      <c r="N982" s="116"/>
    </row>
    <row r="983">
      <c r="C983" s="107"/>
      <c r="D983" s="108"/>
      <c r="E983" s="114"/>
      <c r="F983" s="107"/>
      <c r="H983" s="111"/>
      <c r="I983" s="111"/>
      <c r="J983" s="115"/>
      <c r="K983" s="107"/>
      <c r="L983" s="49"/>
      <c r="M983" s="107"/>
      <c r="N983" s="116"/>
    </row>
    <row r="984">
      <c r="C984" s="107"/>
      <c r="D984" s="108"/>
      <c r="E984" s="114"/>
      <c r="F984" s="107"/>
      <c r="H984" s="111"/>
      <c r="I984" s="111"/>
      <c r="J984" s="115"/>
      <c r="K984" s="107"/>
      <c r="L984" s="49"/>
      <c r="M984" s="107"/>
      <c r="N984" s="116"/>
    </row>
    <row r="985">
      <c r="C985" s="107"/>
      <c r="D985" s="108"/>
      <c r="E985" s="114"/>
      <c r="F985" s="107"/>
      <c r="H985" s="111"/>
      <c r="I985" s="111"/>
      <c r="J985" s="115"/>
      <c r="K985" s="107"/>
      <c r="L985" s="49"/>
      <c r="M985" s="107"/>
      <c r="N985" s="116"/>
    </row>
    <row r="986">
      <c r="C986" s="107"/>
      <c r="D986" s="108"/>
      <c r="E986" s="114"/>
      <c r="F986" s="107"/>
      <c r="H986" s="111"/>
      <c r="I986" s="111"/>
      <c r="J986" s="115"/>
      <c r="K986" s="107"/>
      <c r="L986" s="49"/>
      <c r="M986" s="107"/>
      <c r="N986" s="116"/>
    </row>
    <row r="987">
      <c r="C987" s="107"/>
      <c r="D987" s="108"/>
      <c r="E987" s="114"/>
      <c r="F987" s="107"/>
      <c r="H987" s="111"/>
      <c r="I987" s="111"/>
      <c r="J987" s="115"/>
      <c r="K987" s="107"/>
      <c r="L987" s="49"/>
      <c r="M987" s="107"/>
      <c r="N987" s="116"/>
    </row>
    <row r="988">
      <c r="C988" s="107"/>
      <c r="D988" s="108"/>
      <c r="E988" s="114"/>
      <c r="F988" s="107"/>
      <c r="H988" s="111"/>
      <c r="I988" s="111"/>
      <c r="J988" s="115"/>
      <c r="K988" s="107"/>
      <c r="L988" s="49"/>
      <c r="M988" s="107"/>
      <c r="N988" s="116"/>
    </row>
    <row r="989">
      <c r="C989" s="107"/>
      <c r="D989" s="108"/>
      <c r="E989" s="114"/>
      <c r="F989" s="107"/>
      <c r="H989" s="111"/>
      <c r="I989" s="111"/>
      <c r="J989" s="115"/>
      <c r="K989" s="107"/>
      <c r="L989" s="49"/>
      <c r="M989" s="107"/>
      <c r="N989" s="116"/>
    </row>
    <row r="990">
      <c r="C990" s="107"/>
      <c r="D990" s="108"/>
      <c r="E990" s="114"/>
      <c r="F990" s="107"/>
      <c r="H990" s="111"/>
      <c r="I990" s="111"/>
      <c r="J990" s="115"/>
      <c r="K990" s="107"/>
      <c r="L990" s="49"/>
      <c r="M990" s="107"/>
      <c r="N990" s="116"/>
    </row>
    <row r="991">
      <c r="C991" s="107"/>
      <c r="D991" s="108"/>
      <c r="E991" s="114"/>
      <c r="F991" s="107"/>
      <c r="H991" s="111"/>
      <c r="I991" s="111"/>
      <c r="J991" s="115"/>
      <c r="K991" s="107"/>
      <c r="L991" s="49"/>
      <c r="M991" s="107"/>
      <c r="N991" s="116"/>
    </row>
    <row r="992">
      <c r="C992" s="107"/>
      <c r="D992" s="108"/>
      <c r="E992" s="114"/>
      <c r="F992" s="107"/>
      <c r="H992" s="111"/>
      <c r="I992" s="111"/>
      <c r="J992" s="115"/>
      <c r="K992" s="107"/>
      <c r="L992" s="49"/>
      <c r="M992" s="107"/>
      <c r="N992" s="116"/>
    </row>
    <row r="993">
      <c r="C993" s="107"/>
      <c r="D993" s="108"/>
      <c r="E993" s="114"/>
      <c r="F993" s="107"/>
      <c r="H993" s="111"/>
      <c r="I993" s="111"/>
      <c r="J993" s="115"/>
      <c r="K993" s="107"/>
      <c r="L993" s="49"/>
      <c r="M993" s="107"/>
      <c r="N993" s="116"/>
    </row>
    <row r="994">
      <c r="C994" s="107"/>
      <c r="D994" s="108"/>
      <c r="E994" s="114"/>
      <c r="F994" s="107"/>
      <c r="H994" s="111"/>
      <c r="I994" s="111"/>
      <c r="J994" s="115"/>
      <c r="K994" s="107"/>
      <c r="L994" s="49"/>
      <c r="M994" s="107"/>
      <c r="N994" s="116"/>
    </row>
    <row r="995">
      <c r="C995" s="107"/>
      <c r="D995" s="108"/>
      <c r="E995" s="114"/>
      <c r="F995" s="107"/>
      <c r="H995" s="111"/>
      <c r="I995" s="111"/>
      <c r="J995" s="115"/>
      <c r="K995" s="107"/>
      <c r="L995" s="49"/>
      <c r="M995" s="107"/>
      <c r="N995" s="116"/>
    </row>
    <row r="996">
      <c r="C996" s="107"/>
      <c r="D996" s="108"/>
      <c r="E996" s="114"/>
      <c r="F996" s="107"/>
      <c r="H996" s="111"/>
      <c r="I996" s="111"/>
      <c r="J996" s="115"/>
      <c r="K996" s="107"/>
      <c r="L996" s="49"/>
      <c r="M996" s="107"/>
      <c r="N996" s="116"/>
    </row>
    <row r="997">
      <c r="C997" s="107"/>
      <c r="D997" s="108"/>
      <c r="E997" s="114"/>
      <c r="F997" s="107"/>
      <c r="H997" s="111"/>
      <c r="I997" s="111"/>
      <c r="J997" s="115"/>
      <c r="K997" s="107"/>
      <c r="L997" s="49"/>
      <c r="M997" s="107"/>
      <c r="N997" s="116"/>
    </row>
    <row r="998">
      <c r="C998" s="107"/>
      <c r="D998" s="108"/>
      <c r="E998" s="114"/>
      <c r="F998" s="107"/>
      <c r="H998" s="111"/>
      <c r="I998" s="111"/>
      <c r="J998" s="115"/>
      <c r="K998" s="107"/>
      <c r="L998" s="49"/>
      <c r="M998" s="107"/>
      <c r="N998" s="116"/>
    </row>
    <row r="999">
      <c r="C999" s="107"/>
      <c r="D999" s="108"/>
      <c r="E999" s="114"/>
      <c r="F999" s="107"/>
      <c r="H999" s="111"/>
      <c r="I999" s="111"/>
      <c r="J999" s="115"/>
      <c r="K999" s="107"/>
      <c r="L999" s="49"/>
      <c r="M999" s="107"/>
      <c r="N999" s="116"/>
    </row>
  </sheetData>
  <conditionalFormatting sqref="F1:F27 G1:G999 K1:M999 R1 T1 V1 X1 W7:X7 W9:X9 V13 V15 V17 F29:F999">
    <cfRule type="cellIs" dxfId="7" priority="1" operator="greaterThanOrEqual">
      <formula>0</formula>
    </cfRule>
  </conditionalFormatting>
  <conditionalFormatting sqref="F1:F27 G1:G999 K1:M999 R1 T1 V1 X1 W7:X7 W9:X9 V13 V15 V17 F29:F999">
    <cfRule type="cellIs" dxfId="8" priority="2" operator="lessThan">
      <formula>0</formula>
    </cfRule>
  </conditionalFormatting>
  <conditionalFormatting sqref="L1:L999">
    <cfRule type="cellIs" dxfId="9" priority="3" operator="greaterThanOrEqual">
      <formula>0.1</formula>
    </cfRule>
  </conditionalFormatting>
  <conditionalFormatting sqref="L1:L999">
    <cfRule type="cellIs" dxfId="10" priority="4" operator="lessThanOrEqual">
      <formula>0.1</formula>
    </cfRule>
  </conditionalFormatting>
  <conditionalFormatting sqref="Z1:AA999">
    <cfRule type="expression" dxfId="11" priority="5">
      <formula>MATCH(P2, $N$2:$N999, 0)</formula>
    </cfRule>
  </conditionalFormatting>
  <dataValidations>
    <dataValidation type="custom" allowBlank="1" showDropDown="1" sqref="C2:C24 E2:M24">
      <formula1>AND(ISNUMBER(C2),(NOT(OR(NOT(ISERROR(DATEVALUE(C2))), AND(ISNUMBER(C2), LEFT(CELL("format", C2))="D")))))</formula1>
    </dataValidation>
    <dataValidation allowBlank="1" showDropDown="1" sqref="B2:B24"/>
    <dataValidation type="list" allowBlank="1" sqref="N2:N24">
      <formula1>"大盤,科技,房地產,必須消費,債券,虛擬貨幣,非必須消費"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2" max="2" width="16.5"/>
    <col customWidth="1" min="3" max="3" width="11.88"/>
    <col customWidth="1" min="7" max="7" width="13.75"/>
    <col customWidth="1" min="8" max="8" width="13.88"/>
  </cols>
  <sheetData>
    <row r="1" ht="22.5" customHeight="1">
      <c r="A1" s="2" t="s">
        <v>5</v>
      </c>
      <c r="B1" s="2" t="s">
        <v>6</v>
      </c>
      <c r="C1" s="2" t="s">
        <v>2</v>
      </c>
      <c r="D1" s="2" t="s">
        <v>7</v>
      </c>
      <c r="E1" s="2" t="s">
        <v>8</v>
      </c>
      <c r="F1" s="2" t="s">
        <v>3</v>
      </c>
      <c r="G1" s="2" t="s">
        <v>4</v>
      </c>
      <c r="H1" s="2" t="s">
        <v>9</v>
      </c>
      <c r="I1" s="2" t="s">
        <v>1</v>
      </c>
      <c r="J1" s="117" t="s">
        <v>44</v>
      </c>
      <c r="K1" s="118">
        <f>SUM(I:I)</f>
        <v>299509.45</v>
      </c>
      <c r="L1" s="117" t="s">
        <v>45</v>
      </c>
      <c r="M1" s="118">
        <f>SUM(H:H)</f>
        <v>240415.82</v>
      </c>
      <c r="N1" s="117" t="s">
        <v>46</v>
      </c>
      <c r="O1" s="118">
        <f>K1-M1</f>
        <v>59093.63</v>
      </c>
      <c r="P1" s="117" t="s">
        <v>47</v>
      </c>
      <c r="Q1" s="119">
        <f>O1/M1</f>
        <v>0.2457975935</v>
      </c>
    </row>
    <row r="2" ht="22.5" customHeight="1">
      <c r="A2" s="22" t="s">
        <v>81</v>
      </c>
      <c r="B2" s="52" t="str">
        <f>IFERROR(__xludf.DUMMYFUNCTION("INDEX(IMPORTXML(""https://tw.stock.yahoo.com/quote/"" &amp; A2, ""//h1""), 2)
"),"大魯閣")</f>
        <v>大魯閣</v>
      </c>
      <c r="C2" s="41">
        <f t="shared" ref="C2:C6" si="1">H2/E2</f>
        <v>20</v>
      </c>
      <c r="D2" s="20">
        <f t="shared" ref="D2:D6" si="2">getStockPrice(A2 &amp; ".TW")</f>
        <v>17.15</v>
      </c>
      <c r="E2" s="11">
        <f>SUMIFS('台股購買'!$D:$D, '台股購買'!$C:$C, $A2, '台股購買'!B:B, "買進")-sumifs('台股購買'!D:D, '台股購買'!C:C, $A2, '台股購買'!B:B, "賣出")</f>
        <v>1</v>
      </c>
      <c r="F2" s="41">
        <f t="shared" ref="F2:F6" si="3">I2-H2</f>
        <v>-2.85</v>
      </c>
      <c r="G2" s="47">
        <f t="shared" ref="G2:G6" si="4">F2/H2</f>
        <v>-0.1425</v>
      </c>
      <c r="H2" s="104">
        <f>SUMIFS('台股購買'!$F:$F, '台股購買'!$C:$C, $A2, '台股購買'!B:B, "買進")+SUMIFS('台股購買'!$G:$G, '台股購買'!$C:$C, $A2, '台股購買'!B:B, "買進")-SUMIFS('台股購買'!$H:H, '台股購買'!$C:$C, $A2, '台股購買'!B:B, "賣出")</f>
        <v>20</v>
      </c>
      <c r="I2" s="54">
        <f t="shared" ref="I2:I6" si="5">E2*D2</f>
        <v>17.15</v>
      </c>
    </row>
    <row r="3" ht="22.5" customHeight="1">
      <c r="A3" s="17" t="s">
        <v>82</v>
      </c>
      <c r="B3" s="21" t="str">
        <f>IFERROR(__xludf.DUMMYFUNCTION("INDEX(IMPORTXML(""https://tw.stock.yahoo.com/quote/"" &amp; A3, ""//h1""), 2)
"),"富邦台50")</f>
        <v>富邦台50</v>
      </c>
      <c r="C3" s="13">
        <f t="shared" si="1"/>
        <v>116.4438235</v>
      </c>
      <c r="D3" s="11">
        <f t="shared" si="2"/>
        <v>141.55</v>
      </c>
      <c r="E3" s="11">
        <f>SUMIFS('台股購買'!$D:$D, '台股購買'!$C:$C, $A3, '台股購買'!B:B, "買進")-sumifs('台股購買'!D:D, '台股購買'!C:C, $A3, '台股購買'!B:B, "賣出")</f>
        <v>34</v>
      </c>
      <c r="F3" s="13">
        <f t="shared" si="3"/>
        <v>853.61</v>
      </c>
      <c r="G3" s="14">
        <f t="shared" si="4"/>
        <v>0.215607627</v>
      </c>
      <c r="H3" s="104">
        <f>SUMIFS('台股購買'!$F:$F, '台股購買'!$C:$C, $A3, '台股購買'!B:B, "買進")+SUMIFS('台股購買'!$G:$G, '台股購買'!$C:$C, $A3, '台股購買'!B:B, "買進")-SUMIFS('台股購買'!$H:H, '台股購買'!$C:$C, $A3, '台股購買'!B:B, "賣出")</f>
        <v>3959.09</v>
      </c>
      <c r="I3" s="104">
        <f t="shared" si="5"/>
        <v>4812.7</v>
      </c>
    </row>
    <row r="4" ht="22.5" customHeight="1">
      <c r="A4" s="120" t="s">
        <v>83</v>
      </c>
      <c r="B4" s="21" t="str">
        <f>IFERROR(__xludf.DUMMYFUNCTION("INDEX(IMPORTXML(""https://tw.stock.yahoo.com/quote/"" &amp; A4, ""//h1""), 2)
"),"中信NASDAQ")</f>
        <v>中信NASDAQ</v>
      </c>
      <c r="C4" s="13">
        <f t="shared" si="1"/>
        <v>10.00846154</v>
      </c>
      <c r="D4" s="11">
        <f t="shared" si="2"/>
        <v>10.92</v>
      </c>
      <c r="E4" s="11">
        <f>SUMIFS('台股購買'!$D:$D, '台股購買'!$C:$C, $A4, '台股購買'!B:B, "買進")-sumifs('台股購買'!D:D, '台股購買'!C:C, $A4, '台股購買'!B:B, "賣出")</f>
        <v>1300</v>
      </c>
      <c r="F4" s="13">
        <f t="shared" si="3"/>
        <v>1185</v>
      </c>
      <c r="G4" s="14">
        <f t="shared" si="4"/>
        <v>0.09107678119</v>
      </c>
      <c r="H4" s="104">
        <f>SUMIFS('台股購買'!$F:$F, '台股購買'!$C:$C, $A4, '台股購買'!B:B, "買進")+SUMIFS('台股購買'!$G:$G, '台股購買'!$C:$C, $A4, '台股購買'!B:B, "買進")-SUMIFS('台股購買'!$H:H, '台股購買'!$C:$C, $A4, '台股購買'!B:B, "賣出")</f>
        <v>13011</v>
      </c>
      <c r="I4" s="104">
        <f t="shared" si="5"/>
        <v>14196</v>
      </c>
    </row>
    <row r="5" ht="22.5" customHeight="1">
      <c r="A5" s="120" t="s">
        <v>84</v>
      </c>
      <c r="B5" s="21" t="str">
        <f>IFERROR(__xludf.DUMMYFUNCTION("INDEX(IMPORTXML(""https://tw.stock.yahoo.com/quote/"" &amp; A5, ""//h1""), 2)
"),"台積電")</f>
        <v>台積電</v>
      </c>
      <c r="C5" s="13">
        <f t="shared" si="1"/>
        <v>1462.071429</v>
      </c>
      <c r="D5" s="11">
        <f t="shared" si="2"/>
        <v>1455</v>
      </c>
      <c r="E5" s="11">
        <f>SUMIFS('台股購買'!$D:$D, '台股購買'!$C:$C, $A5, '台股購買'!B:B, "買進")-sumifs('台股購買'!D:D, '台股購買'!C:C, $A5, '台股購買'!B:B, "賣出")</f>
        <v>42</v>
      </c>
      <c r="F5" s="13">
        <f t="shared" si="3"/>
        <v>-297</v>
      </c>
      <c r="G5" s="14">
        <f t="shared" si="4"/>
        <v>-0.004836582149</v>
      </c>
      <c r="H5" s="104">
        <f>SUMIFS('台股購買'!$F:$F, '台股購買'!$C:$C, $A5, '台股購買'!B:B, "買進")+SUMIFS('台股購買'!$G:$G, '台股購買'!$C:$C, $A5, '台股購買'!B:B, "買進")-SUMIFS('台股購買'!$H:H, '台股購買'!$C:$C, $A5, '台股購買'!B:B, "賣出")</f>
        <v>61407</v>
      </c>
      <c r="I5" s="104">
        <f t="shared" si="5"/>
        <v>61110</v>
      </c>
    </row>
    <row r="6" ht="22.5" customHeight="1">
      <c r="A6" s="120" t="s">
        <v>85</v>
      </c>
      <c r="B6" s="21" t="str">
        <f>IFERROR(__xludf.DUMMYFUNCTION("INDEX(IMPORTXML(""https://tw.stock.yahoo.com/quote/"" &amp; A6, ""//h1""), 2)
"),"元大台灣50")</f>
        <v>元大台灣50</v>
      </c>
      <c r="C6" s="13">
        <f t="shared" si="1"/>
        <v>45.71634594</v>
      </c>
      <c r="D6" s="11">
        <f t="shared" si="2"/>
        <v>61.9</v>
      </c>
      <c r="E6" s="11">
        <f>SUMIFS('台股購買'!$D:$D, '台股購買'!$C:$C, $A6, '台股購買'!B:B, "買進")-sumifs('台股購買'!D:D, '台股購買'!C:C, $A6, '台股購買'!B:B, "賣出")</f>
        <v>3544</v>
      </c>
      <c r="F6" s="13">
        <f t="shared" si="3"/>
        <v>57354.87</v>
      </c>
      <c r="G6" s="14">
        <f t="shared" si="4"/>
        <v>0.3540014787</v>
      </c>
      <c r="H6" s="104">
        <f>SUMIFS('台股購買'!$F:$F, '台股購買'!$C:$C, $A6, '台股購買'!B:B, "買進")+SUMIFS('台股購買'!$G:$G, '台股購買'!$C:$C, $A6, '台股購買'!B:B, "買進")-SUMIFS('台股購買'!$H:H, '台股購買'!$C:$C, $A6, '台股購買'!B:B, "賣出")</f>
        <v>162018.73</v>
      </c>
      <c r="I6" s="104">
        <f t="shared" si="5"/>
        <v>219373.6</v>
      </c>
    </row>
    <row r="7">
      <c r="A7" s="121"/>
      <c r="B7" s="121"/>
      <c r="C7" s="107"/>
      <c r="F7" s="107"/>
      <c r="G7" s="110"/>
      <c r="H7" s="49"/>
      <c r="I7" s="49"/>
    </row>
    <row r="8">
      <c r="A8" s="121"/>
      <c r="B8" s="121"/>
      <c r="C8" s="107"/>
      <c r="F8" s="107"/>
      <c r="G8" s="110"/>
      <c r="H8" s="49"/>
      <c r="I8" s="49"/>
    </row>
    <row r="9">
      <c r="A9" s="121"/>
      <c r="B9" s="121"/>
      <c r="C9" s="107"/>
      <c r="F9" s="107"/>
      <c r="G9" s="110"/>
      <c r="H9" s="49"/>
      <c r="I9" s="49"/>
    </row>
    <row r="10">
      <c r="A10" s="121"/>
      <c r="B10" s="121"/>
      <c r="C10" s="107"/>
      <c r="F10" s="107"/>
      <c r="G10" s="110"/>
      <c r="H10" s="49"/>
      <c r="I10" s="49"/>
    </row>
    <row r="11">
      <c r="A11" s="121"/>
      <c r="B11" s="121"/>
      <c r="C11" s="107"/>
      <c r="F11" s="107"/>
      <c r="G11" s="110"/>
      <c r="H11" s="49"/>
      <c r="I11" s="49"/>
    </row>
    <row r="12">
      <c r="C12" s="107"/>
      <c r="F12" s="107"/>
      <c r="H12" s="49"/>
    </row>
    <row r="13">
      <c r="C13" s="107"/>
      <c r="F13" s="107"/>
      <c r="H13" s="49"/>
    </row>
    <row r="14">
      <c r="C14" s="107"/>
      <c r="F14" s="107"/>
      <c r="H14" s="49"/>
    </row>
    <row r="15">
      <c r="C15" s="107"/>
      <c r="F15" s="107"/>
      <c r="H15" s="49"/>
    </row>
    <row r="16">
      <c r="C16" s="107"/>
      <c r="F16" s="107"/>
      <c r="H16" s="49"/>
    </row>
    <row r="17">
      <c r="C17" s="107"/>
      <c r="F17" s="107"/>
      <c r="H17" s="49"/>
    </row>
    <row r="18">
      <c r="C18" s="107"/>
      <c r="F18" s="107"/>
      <c r="H18" s="49"/>
    </row>
    <row r="19">
      <c r="C19" s="107"/>
      <c r="F19" s="107"/>
      <c r="H19" s="49"/>
    </row>
    <row r="20">
      <c r="C20" s="107"/>
      <c r="F20" s="107"/>
      <c r="H20" s="49"/>
    </row>
    <row r="21">
      <c r="C21" s="107"/>
      <c r="F21" s="107"/>
      <c r="H21" s="49"/>
    </row>
    <row r="22">
      <c r="C22" s="107"/>
      <c r="F22" s="107"/>
      <c r="H22" s="49"/>
    </row>
    <row r="23">
      <c r="C23" s="107"/>
      <c r="F23" s="107"/>
      <c r="H23" s="49"/>
    </row>
    <row r="24">
      <c r="C24" s="107"/>
      <c r="F24" s="107"/>
      <c r="H24" s="49"/>
    </row>
    <row r="25">
      <c r="C25" s="107"/>
      <c r="F25" s="107"/>
      <c r="H25" s="49"/>
    </row>
    <row r="26">
      <c r="C26" s="107"/>
      <c r="F26" s="107"/>
      <c r="H26" s="49"/>
    </row>
    <row r="27">
      <c r="C27" s="107"/>
      <c r="F27" s="107"/>
      <c r="H27" s="49"/>
    </row>
    <row r="28">
      <c r="C28" s="107"/>
      <c r="F28" s="107"/>
      <c r="H28" s="49"/>
    </row>
    <row r="29">
      <c r="C29" s="107"/>
      <c r="F29" s="107"/>
      <c r="H29" s="49"/>
    </row>
    <row r="30">
      <c r="C30" s="107"/>
      <c r="F30" s="107"/>
      <c r="H30" s="49"/>
    </row>
    <row r="31">
      <c r="C31" s="107"/>
      <c r="F31" s="107"/>
      <c r="H31" s="49"/>
    </row>
    <row r="32">
      <c r="C32" s="107"/>
      <c r="F32" s="107"/>
      <c r="H32" s="49"/>
    </row>
    <row r="33">
      <c r="C33" s="107"/>
      <c r="F33" s="107"/>
      <c r="H33" s="49"/>
    </row>
    <row r="34">
      <c r="C34" s="107"/>
      <c r="F34" s="107"/>
      <c r="H34" s="49"/>
    </row>
    <row r="35">
      <c r="C35" s="107"/>
      <c r="F35" s="107"/>
      <c r="H35" s="49"/>
    </row>
    <row r="36">
      <c r="C36" s="107"/>
      <c r="F36" s="107"/>
      <c r="H36" s="49"/>
    </row>
    <row r="37">
      <c r="C37" s="107"/>
      <c r="F37" s="107"/>
      <c r="H37" s="49"/>
    </row>
    <row r="38">
      <c r="C38" s="107"/>
      <c r="F38" s="107"/>
      <c r="H38" s="49"/>
    </row>
    <row r="39">
      <c r="C39" s="107"/>
      <c r="F39" s="107"/>
      <c r="H39" s="49"/>
    </row>
    <row r="40">
      <c r="C40" s="107"/>
      <c r="F40" s="107"/>
      <c r="H40" s="49"/>
    </row>
    <row r="41">
      <c r="C41" s="107"/>
      <c r="F41" s="107"/>
      <c r="H41" s="49"/>
    </row>
    <row r="42">
      <c r="C42" s="107"/>
      <c r="F42" s="107"/>
      <c r="H42" s="49"/>
    </row>
    <row r="43">
      <c r="C43" s="107"/>
      <c r="F43" s="107"/>
      <c r="H43" s="49"/>
    </row>
    <row r="44">
      <c r="C44" s="107"/>
      <c r="F44" s="107"/>
      <c r="H44" s="49"/>
    </row>
    <row r="45">
      <c r="C45" s="107"/>
      <c r="F45" s="107"/>
      <c r="H45" s="49"/>
    </row>
    <row r="46">
      <c r="C46" s="107"/>
      <c r="F46" s="107"/>
      <c r="H46" s="49"/>
    </row>
    <row r="47">
      <c r="C47" s="107"/>
      <c r="F47" s="107"/>
      <c r="H47" s="49"/>
    </row>
    <row r="48">
      <c r="C48" s="107"/>
      <c r="F48" s="107"/>
      <c r="H48" s="49"/>
    </row>
    <row r="49">
      <c r="C49" s="107"/>
      <c r="F49" s="107"/>
      <c r="H49" s="49"/>
    </row>
    <row r="50">
      <c r="C50" s="107"/>
      <c r="F50" s="107"/>
      <c r="H50" s="49"/>
    </row>
    <row r="51">
      <c r="C51" s="107"/>
      <c r="F51" s="107"/>
      <c r="H51" s="49"/>
    </row>
    <row r="52">
      <c r="C52" s="107"/>
      <c r="F52" s="107"/>
      <c r="H52" s="49"/>
    </row>
    <row r="53">
      <c r="C53" s="107"/>
      <c r="F53" s="107"/>
      <c r="H53" s="49"/>
    </row>
    <row r="54">
      <c r="C54" s="107"/>
      <c r="F54" s="107"/>
      <c r="H54" s="49"/>
    </row>
    <row r="55">
      <c r="C55" s="107"/>
      <c r="F55" s="107"/>
      <c r="H55" s="49"/>
    </row>
    <row r="56">
      <c r="C56" s="107"/>
      <c r="F56" s="107"/>
      <c r="H56" s="49"/>
    </row>
    <row r="57">
      <c r="C57" s="107"/>
      <c r="F57" s="107"/>
      <c r="H57" s="49"/>
    </row>
    <row r="58">
      <c r="C58" s="107"/>
      <c r="F58" s="107"/>
      <c r="H58" s="49"/>
    </row>
    <row r="59">
      <c r="C59" s="107"/>
      <c r="F59" s="107"/>
      <c r="H59" s="49"/>
    </row>
    <row r="60">
      <c r="C60" s="107"/>
      <c r="F60" s="107"/>
      <c r="H60" s="49"/>
    </row>
    <row r="61">
      <c r="C61" s="107"/>
      <c r="F61" s="107"/>
      <c r="H61" s="49"/>
    </row>
    <row r="62">
      <c r="C62" s="107"/>
      <c r="F62" s="107"/>
      <c r="H62" s="49"/>
    </row>
    <row r="63">
      <c r="C63" s="107"/>
      <c r="F63" s="107"/>
      <c r="H63" s="49"/>
    </row>
    <row r="64">
      <c r="C64" s="107"/>
      <c r="F64" s="107"/>
      <c r="H64" s="49"/>
    </row>
    <row r="65">
      <c r="C65" s="107"/>
      <c r="F65" s="107"/>
      <c r="H65" s="49"/>
    </row>
    <row r="66">
      <c r="C66" s="107"/>
      <c r="F66" s="107"/>
      <c r="H66" s="49"/>
    </row>
    <row r="67">
      <c r="C67" s="107"/>
      <c r="F67" s="107"/>
      <c r="H67" s="49"/>
    </row>
    <row r="68">
      <c r="C68" s="107"/>
      <c r="F68" s="107"/>
      <c r="H68" s="49"/>
    </row>
    <row r="69">
      <c r="C69" s="107"/>
      <c r="F69" s="107"/>
      <c r="H69" s="49"/>
    </row>
    <row r="70">
      <c r="C70" s="107"/>
      <c r="F70" s="107"/>
      <c r="H70" s="49"/>
    </row>
    <row r="71">
      <c r="C71" s="107"/>
      <c r="F71" s="107"/>
      <c r="H71" s="49"/>
    </row>
    <row r="72">
      <c r="C72" s="107"/>
      <c r="F72" s="107"/>
      <c r="H72" s="49"/>
    </row>
    <row r="73">
      <c r="C73" s="107"/>
      <c r="F73" s="107"/>
      <c r="H73" s="49"/>
    </row>
    <row r="74">
      <c r="C74" s="107"/>
      <c r="F74" s="107"/>
      <c r="H74" s="49"/>
    </row>
    <row r="75">
      <c r="C75" s="107"/>
      <c r="F75" s="107"/>
      <c r="H75" s="49"/>
    </row>
    <row r="76">
      <c r="C76" s="107"/>
      <c r="F76" s="107"/>
      <c r="H76" s="49"/>
    </row>
    <row r="77">
      <c r="C77" s="107"/>
      <c r="F77" s="107"/>
      <c r="H77" s="49"/>
    </row>
    <row r="78">
      <c r="C78" s="107"/>
      <c r="F78" s="107"/>
      <c r="H78" s="49"/>
    </row>
    <row r="79">
      <c r="C79" s="107"/>
      <c r="F79" s="107"/>
      <c r="H79" s="49"/>
    </row>
    <row r="80">
      <c r="C80" s="107"/>
      <c r="F80" s="107"/>
      <c r="H80" s="49"/>
    </row>
    <row r="81">
      <c r="C81" s="107"/>
      <c r="F81" s="107"/>
      <c r="H81" s="49"/>
    </row>
    <row r="82">
      <c r="C82" s="107"/>
      <c r="F82" s="107"/>
      <c r="H82" s="49"/>
    </row>
    <row r="83">
      <c r="C83" s="107"/>
      <c r="F83" s="107"/>
      <c r="H83" s="49"/>
    </row>
    <row r="84">
      <c r="C84" s="107"/>
      <c r="F84" s="107"/>
      <c r="H84" s="49"/>
    </row>
    <row r="85">
      <c r="C85" s="107"/>
      <c r="F85" s="107"/>
      <c r="H85" s="49"/>
    </row>
    <row r="86">
      <c r="C86" s="107"/>
      <c r="F86" s="107"/>
      <c r="H86" s="49"/>
    </row>
    <row r="87">
      <c r="C87" s="107"/>
      <c r="F87" s="107"/>
      <c r="H87" s="49"/>
    </row>
    <row r="88">
      <c r="C88" s="107"/>
      <c r="F88" s="107"/>
      <c r="H88" s="49"/>
    </row>
    <row r="89">
      <c r="C89" s="107"/>
      <c r="F89" s="107"/>
      <c r="H89" s="49"/>
    </row>
    <row r="90">
      <c r="C90" s="107"/>
      <c r="F90" s="107"/>
      <c r="H90" s="49"/>
    </row>
    <row r="91">
      <c r="C91" s="107"/>
      <c r="F91" s="107"/>
      <c r="H91" s="49"/>
    </row>
    <row r="92">
      <c r="C92" s="107"/>
      <c r="F92" s="107"/>
      <c r="H92" s="49"/>
    </row>
    <row r="93">
      <c r="C93" s="107"/>
      <c r="F93" s="107"/>
      <c r="H93" s="49"/>
    </row>
    <row r="94">
      <c r="C94" s="107"/>
      <c r="F94" s="107"/>
      <c r="H94" s="49"/>
    </row>
    <row r="95">
      <c r="C95" s="107"/>
      <c r="F95" s="107"/>
      <c r="H95" s="49"/>
    </row>
    <row r="96">
      <c r="C96" s="107"/>
      <c r="F96" s="107"/>
      <c r="H96" s="49"/>
    </row>
    <row r="97">
      <c r="C97" s="107"/>
      <c r="F97" s="107"/>
      <c r="H97" s="49"/>
    </row>
    <row r="98">
      <c r="C98" s="107"/>
      <c r="F98" s="107"/>
      <c r="H98" s="49"/>
    </row>
    <row r="99">
      <c r="C99" s="107"/>
      <c r="F99" s="107"/>
      <c r="H99" s="49"/>
    </row>
    <row r="100">
      <c r="C100" s="107"/>
      <c r="F100" s="107"/>
      <c r="H100" s="49"/>
    </row>
    <row r="101">
      <c r="C101" s="107"/>
      <c r="F101" s="107"/>
      <c r="H101" s="49"/>
    </row>
    <row r="102">
      <c r="C102" s="107"/>
      <c r="F102" s="107"/>
      <c r="H102" s="49"/>
    </row>
    <row r="103">
      <c r="C103" s="107"/>
      <c r="F103" s="107"/>
      <c r="H103" s="49"/>
    </row>
    <row r="104">
      <c r="C104" s="107"/>
      <c r="F104" s="107"/>
      <c r="H104" s="49"/>
    </row>
    <row r="105">
      <c r="C105" s="107"/>
      <c r="F105" s="107"/>
      <c r="H105" s="49"/>
    </row>
    <row r="106">
      <c r="C106" s="107"/>
      <c r="F106" s="107"/>
      <c r="H106" s="49"/>
    </row>
    <row r="107">
      <c r="C107" s="107"/>
      <c r="F107" s="107"/>
      <c r="H107" s="49"/>
    </row>
    <row r="108">
      <c r="C108" s="107"/>
      <c r="F108" s="107"/>
      <c r="H108" s="49"/>
    </row>
    <row r="109">
      <c r="C109" s="107"/>
      <c r="F109" s="107"/>
      <c r="H109" s="49"/>
    </row>
    <row r="110">
      <c r="C110" s="107"/>
      <c r="F110" s="107"/>
      <c r="H110" s="49"/>
    </row>
    <row r="111">
      <c r="C111" s="107"/>
      <c r="F111" s="107"/>
      <c r="H111" s="49"/>
    </row>
    <row r="112">
      <c r="C112" s="107"/>
      <c r="F112" s="107"/>
      <c r="H112" s="49"/>
    </row>
    <row r="113">
      <c r="C113" s="107"/>
      <c r="F113" s="107"/>
      <c r="H113" s="49"/>
    </row>
    <row r="114">
      <c r="C114" s="107"/>
      <c r="F114" s="107"/>
      <c r="H114" s="49"/>
    </row>
    <row r="115">
      <c r="C115" s="107"/>
      <c r="F115" s="107"/>
      <c r="H115" s="49"/>
    </row>
    <row r="116">
      <c r="C116" s="107"/>
      <c r="F116" s="107"/>
      <c r="H116" s="49"/>
    </row>
    <row r="117">
      <c r="C117" s="107"/>
      <c r="F117" s="107"/>
      <c r="H117" s="49"/>
    </row>
    <row r="118">
      <c r="C118" s="107"/>
      <c r="F118" s="107"/>
      <c r="H118" s="49"/>
    </row>
    <row r="119">
      <c r="C119" s="107"/>
      <c r="F119" s="107"/>
      <c r="H119" s="49"/>
    </row>
    <row r="120">
      <c r="C120" s="107"/>
      <c r="F120" s="107"/>
      <c r="H120" s="49"/>
    </row>
    <row r="121">
      <c r="C121" s="107"/>
      <c r="F121" s="107"/>
      <c r="H121" s="49"/>
    </row>
    <row r="122">
      <c r="C122" s="107"/>
      <c r="F122" s="107"/>
      <c r="H122" s="49"/>
    </row>
    <row r="123">
      <c r="C123" s="107"/>
      <c r="F123" s="107"/>
      <c r="H123" s="49"/>
    </row>
    <row r="124">
      <c r="C124" s="107"/>
      <c r="F124" s="107"/>
      <c r="H124" s="49"/>
    </row>
    <row r="125">
      <c r="C125" s="107"/>
      <c r="F125" s="107"/>
      <c r="H125" s="49"/>
    </row>
    <row r="126">
      <c r="C126" s="107"/>
      <c r="F126" s="107"/>
      <c r="H126" s="49"/>
    </row>
    <row r="127">
      <c r="C127" s="107"/>
      <c r="F127" s="107"/>
      <c r="H127" s="49"/>
    </row>
    <row r="128">
      <c r="C128" s="107"/>
      <c r="F128" s="107"/>
      <c r="H128" s="49"/>
    </row>
    <row r="129">
      <c r="C129" s="107"/>
      <c r="F129" s="107"/>
      <c r="H129" s="49"/>
    </row>
    <row r="130">
      <c r="C130" s="107"/>
      <c r="F130" s="107"/>
      <c r="H130" s="49"/>
    </row>
    <row r="131">
      <c r="C131" s="107"/>
      <c r="F131" s="107"/>
      <c r="H131" s="49"/>
    </row>
    <row r="132">
      <c r="C132" s="107"/>
      <c r="F132" s="107"/>
      <c r="H132" s="49"/>
    </row>
    <row r="133">
      <c r="C133" s="107"/>
      <c r="F133" s="107"/>
      <c r="H133" s="49"/>
    </row>
    <row r="134">
      <c r="C134" s="107"/>
      <c r="F134" s="107"/>
      <c r="H134" s="49"/>
    </row>
    <row r="135">
      <c r="C135" s="107"/>
      <c r="F135" s="107"/>
      <c r="H135" s="49"/>
    </row>
    <row r="136">
      <c r="C136" s="107"/>
      <c r="F136" s="107"/>
      <c r="H136" s="49"/>
    </row>
    <row r="137">
      <c r="C137" s="107"/>
      <c r="F137" s="107"/>
      <c r="H137" s="49"/>
    </row>
    <row r="138">
      <c r="C138" s="107"/>
      <c r="F138" s="107"/>
      <c r="H138" s="49"/>
    </row>
    <row r="139">
      <c r="C139" s="107"/>
      <c r="F139" s="107"/>
      <c r="H139" s="49"/>
    </row>
    <row r="140">
      <c r="C140" s="107"/>
      <c r="F140" s="107"/>
      <c r="H140" s="49"/>
    </row>
    <row r="141">
      <c r="C141" s="107"/>
      <c r="F141" s="107"/>
      <c r="H141" s="49"/>
    </row>
    <row r="142">
      <c r="C142" s="107"/>
      <c r="F142" s="107"/>
      <c r="H142" s="49"/>
    </row>
    <row r="143">
      <c r="C143" s="107"/>
      <c r="F143" s="107"/>
      <c r="H143" s="49"/>
    </row>
    <row r="144">
      <c r="C144" s="107"/>
      <c r="F144" s="107"/>
      <c r="H144" s="49"/>
    </row>
    <row r="145">
      <c r="C145" s="107"/>
      <c r="F145" s="107"/>
      <c r="H145" s="49"/>
    </row>
    <row r="146">
      <c r="C146" s="107"/>
      <c r="F146" s="107"/>
      <c r="H146" s="49"/>
    </row>
    <row r="147">
      <c r="C147" s="107"/>
      <c r="F147" s="107"/>
      <c r="H147" s="49"/>
    </row>
    <row r="148">
      <c r="C148" s="107"/>
      <c r="F148" s="107"/>
      <c r="H148" s="49"/>
    </row>
    <row r="149">
      <c r="C149" s="107"/>
      <c r="F149" s="107"/>
      <c r="H149" s="49"/>
    </row>
    <row r="150">
      <c r="C150" s="107"/>
      <c r="F150" s="107"/>
      <c r="H150" s="49"/>
    </row>
    <row r="151">
      <c r="C151" s="107"/>
      <c r="F151" s="107"/>
      <c r="H151" s="49"/>
    </row>
    <row r="152">
      <c r="C152" s="107"/>
      <c r="F152" s="107"/>
      <c r="H152" s="49"/>
    </row>
    <row r="153">
      <c r="C153" s="107"/>
      <c r="F153" s="107"/>
      <c r="H153" s="49"/>
    </row>
    <row r="154">
      <c r="C154" s="107"/>
      <c r="F154" s="107"/>
      <c r="H154" s="49"/>
    </row>
    <row r="155">
      <c r="C155" s="107"/>
      <c r="F155" s="107"/>
      <c r="H155" s="49"/>
    </row>
    <row r="156">
      <c r="C156" s="107"/>
      <c r="F156" s="107"/>
      <c r="H156" s="49"/>
    </row>
    <row r="157">
      <c r="C157" s="107"/>
      <c r="F157" s="107"/>
      <c r="H157" s="49"/>
    </row>
    <row r="158">
      <c r="C158" s="107"/>
      <c r="F158" s="107"/>
      <c r="H158" s="49"/>
    </row>
    <row r="159">
      <c r="C159" s="107"/>
      <c r="F159" s="107"/>
      <c r="H159" s="49"/>
    </row>
    <row r="160">
      <c r="C160" s="107"/>
      <c r="F160" s="107"/>
      <c r="H160" s="49"/>
    </row>
    <row r="161">
      <c r="C161" s="107"/>
      <c r="F161" s="107"/>
      <c r="H161" s="49"/>
    </row>
    <row r="162">
      <c r="C162" s="107"/>
      <c r="F162" s="107"/>
      <c r="H162" s="49"/>
    </row>
    <row r="163">
      <c r="C163" s="107"/>
      <c r="F163" s="107"/>
      <c r="H163" s="49"/>
    </row>
    <row r="164">
      <c r="C164" s="107"/>
      <c r="F164" s="107"/>
      <c r="H164" s="49"/>
    </row>
    <row r="165">
      <c r="C165" s="107"/>
      <c r="F165" s="107"/>
      <c r="H165" s="49"/>
    </row>
    <row r="166">
      <c r="C166" s="107"/>
      <c r="F166" s="107"/>
      <c r="H166" s="49"/>
    </row>
    <row r="167">
      <c r="C167" s="107"/>
      <c r="F167" s="107"/>
      <c r="H167" s="49"/>
    </row>
    <row r="168">
      <c r="C168" s="107"/>
      <c r="F168" s="107"/>
      <c r="H168" s="49"/>
    </row>
    <row r="169">
      <c r="C169" s="107"/>
      <c r="F169" s="107"/>
      <c r="H169" s="49"/>
    </row>
    <row r="170">
      <c r="C170" s="107"/>
      <c r="F170" s="107"/>
      <c r="H170" s="49"/>
    </row>
    <row r="171">
      <c r="C171" s="107"/>
      <c r="F171" s="107"/>
      <c r="H171" s="49"/>
    </row>
    <row r="172">
      <c r="C172" s="107"/>
      <c r="F172" s="107"/>
      <c r="H172" s="49"/>
    </row>
    <row r="173">
      <c r="C173" s="107"/>
      <c r="F173" s="107"/>
      <c r="H173" s="49"/>
    </row>
    <row r="174">
      <c r="C174" s="107"/>
      <c r="F174" s="107"/>
      <c r="H174" s="49"/>
    </row>
    <row r="175">
      <c r="C175" s="107"/>
      <c r="F175" s="107"/>
      <c r="H175" s="49"/>
    </row>
    <row r="176">
      <c r="C176" s="107"/>
      <c r="F176" s="107"/>
      <c r="H176" s="49"/>
    </row>
    <row r="177">
      <c r="C177" s="107"/>
      <c r="F177" s="107"/>
      <c r="H177" s="49"/>
    </row>
    <row r="178">
      <c r="C178" s="107"/>
      <c r="F178" s="107"/>
      <c r="H178" s="49"/>
    </row>
    <row r="179">
      <c r="C179" s="107"/>
      <c r="F179" s="107"/>
      <c r="H179" s="49"/>
    </row>
    <row r="180">
      <c r="C180" s="107"/>
      <c r="F180" s="107"/>
      <c r="H180" s="49"/>
    </row>
    <row r="181">
      <c r="C181" s="107"/>
      <c r="F181" s="107"/>
      <c r="H181" s="49"/>
    </row>
    <row r="182">
      <c r="C182" s="107"/>
      <c r="F182" s="107"/>
      <c r="H182" s="49"/>
    </row>
    <row r="183">
      <c r="C183" s="107"/>
      <c r="F183" s="107"/>
      <c r="H183" s="49"/>
    </row>
    <row r="184">
      <c r="C184" s="107"/>
      <c r="F184" s="107"/>
      <c r="H184" s="49"/>
    </row>
    <row r="185">
      <c r="C185" s="107"/>
      <c r="F185" s="107"/>
      <c r="H185" s="49"/>
    </row>
    <row r="186">
      <c r="C186" s="107"/>
      <c r="F186" s="107"/>
      <c r="H186" s="49"/>
    </row>
    <row r="187">
      <c r="C187" s="107"/>
      <c r="F187" s="107"/>
      <c r="H187" s="49"/>
    </row>
    <row r="188">
      <c r="C188" s="107"/>
      <c r="F188" s="107"/>
      <c r="H188" s="49"/>
    </row>
    <row r="189">
      <c r="C189" s="107"/>
      <c r="F189" s="107"/>
      <c r="H189" s="49"/>
    </row>
    <row r="190">
      <c r="C190" s="107"/>
      <c r="F190" s="107"/>
      <c r="H190" s="49"/>
    </row>
    <row r="191">
      <c r="C191" s="107"/>
      <c r="F191" s="107"/>
      <c r="H191" s="49"/>
    </row>
    <row r="192">
      <c r="C192" s="107"/>
      <c r="F192" s="107"/>
      <c r="H192" s="49"/>
    </row>
    <row r="193">
      <c r="C193" s="107"/>
      <c r="F193" s="107"/>
      <c r="H193" s="49"/>
    </row>
    <row r="194">
      <c r="C194" s="107"/>
      <c r="F194" s="107"/>
      <c r="H194" s="49"/>
    </row>
    <row r="195">
      <c r="C195" s="107"/>
      <c r="F195" s="107"/>
      <c r="H195" s="49"/>
    </row>
    <row r="196">
      <c r="C196" s="107"/>
      <c r="F196" s="107"/>
      <c r="H196" s="49"/>
    </row>
    <row r="197">
      <c r="C197" s="107"/>
      <c r="F197" s="107"/>
      <c r="H197" s="49"/>
    </row>
    <row r="198">
      <c r="C198" s="107"/>
      <c r="F198" s="107"/>
      <c r="H198" s="49"/>
    </row>
    <row r="199">
      <c r="C199" s="107"/>
      <c r="F199" s="107"/>
      <c r="H199" s="49"/>
    </row>
    <row r="200">
      <c r="C200" s="107"/>
      <c r="F200" s="107"/>
      <c r="H200" s="49"/>
    </row>
    <row r="201">
      <c r="C201" s="107"/>
      <c r="F201" s="107"/>
      <c r="H201" s="49"/>
    </row>
    <row r="202">
      <c r="C202" s="107"/>
      <c r="F202" s="107"/>
      <c r="H202" s="49"/>
    </row>
    <row r="203">
      <c r="C203" s="107"/>
      <c r="F203" s="107"/>
      <c r="H203" s="49"/>
    </row>
    <row r="204">
      <c r="C204" s="107"/>
      <c r="F204" s="107"/>
      <c r="H204" s="49"/>
    </row>
    <row r="205">
      <c r="C205" s="107"/>
      <c r="F205" s="107"/>
      <c r="H205" s="49"/>
    </row>
    <row r="206">
      <c r="C206" s="107"/>
      <c r="F206" s="107"/>
      <c r="H206" s="49"/>
    </row>
    <row r="207">
      <c r="C207" s="107"/>
      <c r="F207" s="107"/>
      <c r="H207" s="49"/>
    </row>
    <row r="208">
      <c r="C208" s="107"/>
      <c r="F208" s="107"/>
      <c r="H208" s="49"/>
    </row>
    <row r="209">
      <c r="C209" s="107"/>
      <c r="F209" s="107"/>
      <c r="H209" s="49"/>
    </row>
    <row r="210">
      <c r="C210" s="107"/>
      <c r="F210" s="107"/>
      <c r="H210" s="49"/>
    </row>
    <row r="211">
      <c r="C211" s="107"/>
      <c r="F211" s="107"/>
      <c r="H211" s="49"/>
    </row>
    <row r="212">
      <c r="C212" s="107"/>
      <c r="F212" s="107"/>
      <c r="H212" s="49"/>
    </row>
    <row r="213">
      <c r="C213" s="107"/>
      <c r="F213" s="107"/>
      <c r="H213" s="49"/>
    </row>
    <row r="214">
      <c r="C214" s="107"/>
      <c r="F214" s="107"/>
      <c r="H214" s="49"/>
    </row>
    <row r="215">
      <c r="C215" s="107"/>
      <c r="F215" s="107"/>
      <c r="H215" s="49"/>
    </row>
    <row r="216">
      <c r="C216" s="107"/>
      <c r="F216" s="107"/>
      <c r="H216" s="49"/>
    </row>
    <row r="217">
      <c r="C217" s="107"/>
      <c r="F217" s="107"/>
      <c r="H217" s="49"/>
    </row>
    <row r="218">
      <c r="C218" s="107"/>
      <c r="F218" s="107"/>
      <c r="H218" s="49"/>
    </row>
    <row r="219">
      <c r="C219" s="107"/>
      <c r="F219" s="107"/>
      <c r="H219" s="49"/>
    </row>
    <row r="220">
      <c r="C220" s="107"/>
      <c r="F220" s="107"/>
      <c r="H220" s="49"/>
    </row>
    <row r="221">
      <c r="C221" s="107"/>
      <c r="F221" s="107"/>
      <c r="H221" s="49"/>
    </row>
    <row r="222">
      <c r="C222" s="107"/>
      <c r="F222" s="107"/>
      <c r="H222" s="49"/>
    </row>
    <row r="223">
      <c r="C223" s="107"/>
      <c r="F223" s="107"/>
      <c r="H223" s="49"/>
    </row>
    <row r="224">
      <c r="C224" s="107"/>
      <c r="F224" s="107"/>
      <c r="H224" s="49"/>
    </row>
    <row r="225">
      <c r="C225" s="107"/>
      <c r="F225" s="107"/>
      <c r="H225" s="49"/>
    </row>
    <row r="226">
      <c r="C226" s="107"/>
      <c r="F226" s="107"/>
      <c r="H226" s="49"/>
    </row>
    <row r="227">
      <c r="C227" s="107"/>
      <c r="F227" s="107"/>
      <c r="H227" s="49"/>
    </row>
    <row r="228">
      <c r="C228" s="107"/>
      <c r="F228" s="107"/>
      <c r="H228" s="49"/>
    </row>
    <row r="229">
      <c r="C229" s="107"/>
      <c r="F229" s="107"/>
      <c r="H229" s="49"/>
    </row>
    <row r="230">
      <c r="C230" s="107"/>
      <c r="F230" s="107"/>
      <c r="H230" s="49"/>
    </row>
    <row r="231">
      <c r="C231" s="107"/>
      <c r="F231" s="107"/>
      <c r="H231" s="49"/>
    </row>
    <row r="232">
      <c r="C232" s="107"/>
      <c r="F232" s="107"/>
      <c r="H232" s="49"/>
    </row>
    <row r="233">
      <c r="C233" s="107"/>
      <c r="F233" s="107"/>
      <c r="H233" s="49"/>
    </row>
    <row r="234">
      <c r="C234" s="107"/>
      <c r="F234" s="107"/>
      <c r="H234" s="49"/>
    </row>
    <row r="235">
      <c r="C235" s="107"/>
      <c r="F235" s="107"/>
      <c r="H235" s="49"/>
    </row>
    <row r="236">
      <c r="C236" s="107"/>
      <c r="F236" s="107"/>
      <c r="H236" s="49"/>
    </row>
    <row r="237">
      <c r="C237" s="107"/>
      <c r="F237" s="107"/>
      <c r="H237" s="49"/>
    </row>
    <row r="238">
      <c r="C238" s="107"/>
      <c r="F238" s="107"/>
      <c r="H238" s="49"/>
    </row>
    <row r="239">
      <c r="C239" s="107"/>
      <c r="F239" s="107"/>
      <c r="H239" s="49"/>
    </row>
    <row r="240">
      <c r="C240" s="107"/>
      <c r="F240" s="107"/>
      <c r="H240" s="49"/>
    </row>
    <row r="241">
      <c r="C241" s="107"/>
      <c r="F241" s="107"/>
      <c r="H241" s="49"/>
    </row>
    <row r="242">
      <c r="C242" s="107"/>
      <c r="F242" s="107"/>
      <c r="H242" s="49"/>
    </row>
    <row r="243">
      <c r="C243" s="107"/>
      <c r="F243" s="107"/>
      <c r="H243" s="49"/>
    </row>
    <row r="244">
      <c r="C244" s="107"/>
      <c r="F244" s="107"/>
      <c r="H244" s="49"/>
    </row>
    <row r="245">
      <c r="C245" s="107"/>
      <c r="F245" s="107"/>
      <c r="H245" s="49"/>
    </row>
    <row r="246">
      <c r="C246" s="107"/>
      <c r="F246" s="107"/>
      <c r="H246" s="49"/>
    </row>
    <row r="247">
      <c r="C247" s="107"/>
      <c r="F247" s="107"/>
      <c r="H247" s="49"/>
    </row>
    <row r="248">
      <c r="C248" s="107"/>
      <c r="F248" s="107"/>
      <c r="H248" s="49"/>
    </row>
    <row r="249">
      <c r="C249" s="107"/>
      <c r="F249" s="107"/>
      <c r="H249" s="49"/>
    </row>
    <row r="250">
      <c r="C250" s="107"/>
      <c r="F250" s="107"/>
      <c r="H250" s="49"/>
    </row>
    <row r="251">
      <c r="C251" s="107"/>
      <c r="F251" s="107"/>
      <c r="H251" s="49"/>
    </row>
    <row r="252">
      <c r="C252" s="107"/>
      <c r="F252" s="107"/>
      <c r="H252" s="49"/>
    </row>
    <row r="253">
      <c r="C253" s="107"/>
      <c r="F253" s="107"/>
      <c r="H253" s="49"/>
    </row>
    <row r="254">
      <c r="C254" s="107"/>
      <c r="F254" s="107"/>
      <c r="H254" s="49"/>
    </row>
    <row r="255">
      <c r="C255" s="107"/>
      <c r="F255" s="107"/>
      <c r="H255" s="49"/>
    </row>
    <row r="256">
      <c r="C256" s="107"/>
      <c r="F256" s="107"/>
      <c r="H256" s="49"/>
    </row>
    <row r="257">
      <c r="C257" s="107"/>
      <c r="F257" s="107"/>
      <c r="H257" s="49"/>
    </row>
    <row r="258">
      <c r="C258" s="107"/>
      <c r="F258" s="107"/>
      <c r="H258" s="49"/>
    </row>
    <row r="259">
      <c r="C259" s="107"/>
      <c r="F259" s="107"/>
      <c r="H259" s="49"/>
    </row>
    <row r="260">
      <c r="C260" s="107"/>
      <c r="F260" s="107"/>
      <c r="H260" s="49"/>
    </row>
    <row r="261">
      <c r="C261" s="107"/>
      <c r="F261" s="107"/>
      <c r="H261" s="49"/>
    </row>
    <row r="262">
      <c r="C262" s="107"/>
      <c r="F262" s="107"/>
      <c r="H262" s="49"/>
    </row>
    <row r="263">
      <c r="C263" s="107"/>
      <c r="F263" s="107"/>
      <c r="H263" s="49"/>
    </row>
    <row r="264">
      <c r="C264" s="107"/>
      <c r="F264" s="107"/>
      <c r="H264" s="49"/>
    </row>
    <row r="265">
      <c r="C265" s="107"/>
      <c r="F265" s="107"/>
      <c r="H265" s="49"/>
    </row>
    <row r="266">
      <c r="C266" s="107"/>
      <c r="F266" s="107"/>
      <c r="H266" s="49"/>
    </row>
    <row r="267">
      <c r="C267" s="107"/>
      <c r="F267" s="107"/>
      <c r="H267" s="49"/>
    </row>
    <row r="268">
      <c r="C268" s="107"/>
      <c r="F268" s="107"/>
      <c r="H268" s="49"/>
    </row>
    <row r="269">
      <c r="C269" s="107"/>
      <c r="F269" s="107"/>
      <c r="H269" s="49"/>
    </row>
    <row r="270">
      <c r="C270" s="107"/>
      <c r="F270" s="107"/>
      <c r="H270" s="49"/>
    </row>
    <row r="271">
      <c r="C271" s="107"/>
      <c r="F271" s="107"/>
      <c r="H271" s="49"/>
    </row>
    <row r="272">
      <c r="C272" s="107"/>
      <c r="F272" s="107"/>
      <c r="H272" s="49"/>
    </row>
    <row r="273">
      <c r="C273" s="107"/>
      <c r="F273" s="107"/>
      <c r="H273" s="49"/>
    </row>
    <row r="274">
      <c r="C274" s="107"/>
      <c r="F274" s="107"/>
      <c r="H274" s="49"/>
    </row>
    <row r="275">
      <c r="C275" s="107"/>
      <c r="F275" s="107"/>
      <c r="H275" s="49"/>
    </row>
    <row r="276">
      <c r="C276" s="107"/>
      <c r="F276" s="107"/>
      <c r="H276" s="49"/>
    </row>
    <row r="277">
      <c r="C277" s="107"/>
      <c r="F277" s="107"/>
      <c r="H277" s="49"/>
    </row>
    <row r="278">
      <c r="C278" s="107"/>
      <c r="F278" s="107"/>
      <c r="H278" s="49"/>
    </row>
    <row r="279">
      <c r="C279" s="107"/>
      <c r="F279" s="107"/>
      <c r="H279" s="49"/>
    </row>
    <row r="280">
      <c r="C280" s="107"/>
      <c r="F280" s="107"/>
      <c r="H280" s="49"/>
    </row>
    <row r="281">
      <c r="C281" s="107"/>
      <c r="F281" s="107"/>
      <c r="H281" s="49"/>
    </row>
    <row r="282">
      <c r="C282" s="107"/>
      <c r="F282" s="107"/>
      <c r="H282" s="49"/>
    </row>
    <row r="283">
      <c r="C283" s="107"/>
      <c r="F283" s="107"/>
      <c r="H283" s="49"/>
    </row>
    <row r="284">
      <c r="C284" s="107"/>
      <c r="F284" s="107"/>
      <c r="H284" s="49"/>
    </row>
    <row r="285">
      <c r="C285" s="107"/>
      <c r="F285" s="107"/>
      <c r="H285" s="49"/>
    </row>
    <row r="286">
      <c r="C286" s="107"/>
      <c r="F286" s="107"/>
      <c r="H286" s="49"/>
    </row>
    <row r="287">
      <c r="C287" s="107"/>
      <c r="F287" s="107"/>
      <c r="H287" s="49"/>
    </row>
    <row r="288">
      <c r="C288" s="107"/>
      <c r="F288" s="107"/>
      <c r="H288" s="49"/>
    </row>
    <row r="289">
      <c r="C289" s="107"/>
      <c r="F289" s="107"/>
      <c r="H289" s="49"/>
    </row>
    <row r="290">
      <c r="C290" s="107"/>
      <c r="F290" s="107"/>
      <c r="H290" s="49"/>
    </row>
    <row r="291">
      <c r="C291" s="107"/>
      <c r="F291" s="107"/>
      <c r="H291" s="49"/>
    </row>
    <row r="292">
      <c r="C292" s="107"/>
      <c r="F292" s="107"/>
      <c r="H292" s="49"/>
    </row>
    <row r="293">
      <c r="C293" s="107"/>
      <c r="F293" s="107"/>
      <c r="H293" s="49"/>
    </row>
    <row r="294">
      <c r="C294" s="107"/>
      <c r="F294" s="107"/>
      <c r="H294" s="49"/>
    </row>
    <row r="295">
      <c r="C295" s="107"/>
      <c r="F295" s="107"/>
      <c r="H295" s="49"/>
    </row>
    <row r="296">
      <c r="C296" s="107"/>
      <c r="F296" s="107"/>
      <c r="H296" s="49"/>
    </row>
    <row r="297">
      <c r="C297" s="107"/>
      <c r="F297" s="107"/>
      <c r="H297" s="49"/>
    </row>
    <row r="298">
      <c r="C298" s="107"/>
      <c r="F298" s="107"/>
      <c r="H298" s="49"/>
    </row>
    <row r="299">
      <c r="C299" s="107"/>
      <c r="F299" s="107"/>
      <c r="H299" s="49"/>
    </row>
    <row r="300">
      <c r="C300" s="107"/>
      <c r="F300" s="107"/>
      <c r="H300" s="49"/>
    </row>
    <row r="301">
      <c r="C301" s="107"/>
      <c r="F301" s="107"/>
      <c r="H301" s="49"/>
    </row>
    <row r="302">
      <c r="C302" s="107"/>
      <c r="F302" s="107"/>
      <c r="H302" s="49"/>
    </row>
    <row r="303">
      <c r="C303" s="107"/>
      <c r="F303" s="107"/>
      <c r="H303" s="49"/>
    </row>
    <row r="304">
      <c r="C304" s="107"/>
      <c r="F304" s="107"/>
      <c r="H304" s="49"/>
    </row>
    <row r="305">
      <c r="C305" s="107"/>
      <c r="F305" s="107"/>
      <c r="H305" s="49"/>
    </row>
    <row r="306">
      <c r="C306" s="107"/>
      <c r="F306" s="107"/>
      <c r="H306" s="49"/>
    </row>
    <row r="307">
      <c r="C307" s="107"/>
      <c r="F307" s="107"/>
      <c r="H307" s="49"/>
    </row>
    <row r="308">
      <c r="C308" s="107"/>
      <c r="F308" s="107"/>
      <c r="H308" s="49"/>
    </row>
    <row r="309">
      <c r="C309" s="107"/>
      <c r="F309" s="107"/>
      <c r="H309" s="49"/>
    </row>
    <row r="310">
      <c r="C310" s="107"/>
      <c r="F310" s="107"/>
      <c r="H310" s="49"/>
    </row>
    <row r="311">
      <c r="C311" s="107"/>
      <c r="F311" s="107"/>
      <c r="H311" s="49"/>
    </row>
    <row r="312">
      <c r="C312" s="107"/>
      <c r="F312" s="107"/>
      <c r="H312" s="49"/>
    </row>
    <row r="313">
      <c r="C313" s="107"/>
      <c r="F313" s="107"/>
      <c r="H313" s="49"/>
    </row>
    <row r="314">
      <c r="C314" s="107"/>
      <c r="F314" s="107"/>
      <c r="H314" s="49"/>
    </row>
    <row r="315">
      <c r="C315" s="107"/>
      <c r="F315" s="107"/>
      <c r="H315" s="49"/>
    </row>
    <row r="316">
      <c r="C316" s="107"/>
      <c r="F316" s="107"/>
      <c r="H316" s="49"/>
    </row>
    <row r="317">
      <c r="C317" s="107"/>
      <c r="F317" s="107"/>
      <c r="H317" s="49"/>
    </row>
    <row r="318">
      <c r="C318" s="107"/>
      <c r="F318" s="107"/>
      <c r="H318" s="49"/>
    </row>
    <row r="319">
      <c r="C319" s="107"/>
      <c r="F319" s="107"/>
      <c r="H319" s="49"/>
    </row>
    <row r="320">
      <c r="C320" s="107"/>
      <c r="F320" s="107"/>
      <c r="H320" s="49"/>
    </row>
    <row r="321">
      <c r="C321" s="107"/>
      <c r="F321" s="107"/>
      <c r="H321" s="49"/>
    </row>
    <row r="322">
      <c r="C322" s="107"/>
      <c r="F322" s="107"/>
      <c r="H322" s="49"/>
    </row>
    <row r="323">
      <c r="C323" s="107"/>
      <c r="F323" s="107"/>
      <c r="H323" s="49"/>
    </row>
    <row r="324">
      <c r="C324" s="107"/>
      <c r="F324" s="107"/>
      <c r="H324" s="49"/>
    </row>
    <row r="325">
      <c r="C325" s="107"/>
      <c r="F325" s="107"/>
      <c r="H325" s="49"/>
    </row>
    <row r="326">
      <c r="C326" s="107"/>
      <c r="F326" s="107"/>
      <c r="H326" s="49"/>
    </row>
    <row r="327">
      <c r="C327" s="107"/>
      <c r="F327" s="107"/>
      <c r="H327" s="49"/>
    </row>
    <row r="328">
      <c r="C328" s="107"/>
      <c r="F328" s="107"/>
      <c r="H328" s="49"/>
    </row>
    <row r="329">
      <c r="C329" s="107"/>
      <c r="F329" s="107"/>
      <c r="H329" s="49"/>
    </row>
    <row r="330">
      <c r="C330" s="107"/>
      <c r="F330" s="107"/>
      <c r="H330" s="49"/>
    </row>
    <row r="331">
      <c r="C331" s="107"/>
      <c r="F331" s="107"/>
      <c r="H331" s="49"/>
    </row>
    <row r="332">
      <c r="C332" s="107"/>
      <c r="F332" s="107"/>
      <c r="H332" s="49"/>
    </row>
    <row r="333">
      <c r="C333" s="107"/>
      <c r="F333" s="107"/>
      <c r="H333" s="49"/>
    </row>
    <row r="334">
      <c r="C334" s="107"/>
      <c r="F334" s="107"/>
      <c r="H334" s="49"/>
    </row>
    <row r="335">
      <c r="C335" s="107"/>
      <c r="F335" s="107"/>
      <c r="H335" s="49"/>
    </row>
    <row r="336">
      <c r="C336" s="107"/>
      <c r="F336" s="107"/>
      <c r="H336" s="49"/>
    </row>
    <row r="337">
      <c r="C337" s="107"/>
      <c r="F337" s="107"/>
      <c r="H337" s="49"/>
    </row>
    <row r="338">
      <c r="C338" s="107"/>
      <c r="F338" s="107"/>
      <c r="H338" s="49"/>
    </row>
    <row r="339">
      <c r="C339" s="107"/>
      <c r="F339" s="107"/>
      <c r="H339" s="49"/>
    </row>
    <row r="340">
      <c r="C340" s="107"/>
      <c r="F340" s="107"/>
      <c r="H340" s="49"/>
    </row>
    <row r="341">
      <c r="C341" s="107"/>
      <c r="F341" s="107"/>
      <c r="H341" s="49"/>
    </row>
    <row r="342">
      <c r="C342" s="107"/>
      <c r="F342" s="107"/>
      <c r="H342" s="49"/>
    </row>
    <row r="343">
      <c r="C343" s="107"/>
      <c r="F343" s="107"/>
      <c r="H343" s="49"/>
    </row>
    <row r="344">
      <c r="C344" s="107"/>
      <c r="F344" s="107"/>
      <c r="H344" s="49"/>
    </row>
    <row r="345">
      <c r="C345" s="107"/>
      <c r="F345" s="107"/>
      <c r="H345" s="49"/>
    </row>
    <row r="346">
      <c r="C346" s="107"/>
      <c r="F346" s="107"/>
      <c r="H346" s="49"/>
    </row>
    <row r="347">
      <c r="C347" s="107"/>
      <c r="F347" s="107"/>
      <c r="H347" s="49"/>
    </row>
    <row r="348">
      <c r="C348" s="107"/>
      <c r="F348" s="107"/>
      <c r="H348" s="49"/>
    </row>
    <row r="349">
      <c r="C349" s="107"/>
      <c r="F349" s="107"/>
      <c r="H349" s="49"/>
    </row>
    <row r="350">
      <c r="C350" s="107"/>
      <c r="F350" s="107"/>
      <c r="H350" s="49"/>
    </row>
    <row r="351">
      <c r="C351" s="107"/>
      <c r="F351" s="107"/>
      <c r="H351" s="49"/>
    </row>
    <row r="352">
      <c r="C352" s="107"/>
      <c r="F352" s="107"/>
      <c r="H352" s="49"/>
    </row>
    <row r="353">
      <c r="C353" s="107"/>
      <c r="F353" s="107"/>
      <c r="H353" s="49"/>
    </row>
    <row r="354">
      <c r="C354" s="107"/>
      <c r="F354" s="107"/>
      <c r="H354" s="49"/>
    </row>
    <row r="355">
      <c r="C355" s="107"/>
      <c r="F355" s="107"/>
      <c r="H355" s="49"/>
    </row>
    <row r="356">
      <c r="C356" s="107"/>
      <c r="F356" s="107"/>
      <c r="H356" s="49"/>
    </row>
    <row r="357">
      <c r="C357" s="107"/>
      <c r="F357" s="107"/>
      <c r="H357" s="49"/>
    </row>
    <row r="358">
      <c r="C358" s="107"/>
      <c r="F358" s="107"/>
      <c r="H358" s="49"/>
    </row>
    <row r="359">
      <c r="C359" s="107"/>
      <c r="F359" s="107"/>
      <c r="H359" s="49"/>
    </row>
    <row r="360">
      <c r="C360" s="107"/>
      <c r="F360" s="107"/>
      <c r="H360" s="49"/>
    </row>
    <row r="361">
      <c r="C361" s="107"/>
      <c r="F361" s="107"/>
      <c r="H361" s="49"/>
    </row>
    <row r="362">
      <c r="C362" s="107"/>
      <c r="F362" s="107"/>
      <c r="H362" s="49"/>
    </row>
    <row r="363">
      <c r="C363" s="107"/>
      <c r="F363" s="107"/>
      <c r="H363" s="49"/>
    </row>
    <row r="364">
      <c r="C364" s="107"/>
      <c r="F364" s="107"/>
      <c r="H364" s="49"/>
    </row>
    <row r="365">
      <c r="C365" s="107"/>
      <c r="F365" s="107"/>
      <c r="H365" s="49"/>
    </row>
    <row r="366">
      <c r="C366" s="107"/>
      <c r="F366" s="107"/>
      <c r="H366" s="49"/>
    </row>
    <row r="367">
      <c r="C367" s="107"/>
      <c r="F367" s="107"/>
      <c r="H367" s="49"/>
    </row>
    <row r="368">
      <c r="C368" s="107"/>
      <c r="F368" s="107"/>
      <c r="H368" s="49"/>
    </row>
    <row r="369">
      <c r="C369" s="107"/>
      <c r="F369" s="107"/>
      <c r="H369" s="49"/>
    </row>
    <row r="370">
      <c r="C370" s="107"/>
      <c r="F370" s="107"/>
      <c r="H370" s="49"/>
    </row>
    <row r="371">
      <c r="C371" s="107"/>
      <c r="F371" s="107"/>
      <c r="H371" s="49"/>
    </row>
    <row r="372">
      <c r="C372" s="107"/>
      <c r="F372" s="107"/>
      <c r="H372" s="49"/>
    </row>
    <row r="373">
      <c r="C373" s="107"/>
      <c r="F373" s="107"/>
      <c r="H373" s="49"/>
    </row>
    <row r="374">
      <c r="C374" s="107"/>
      <c r="F374" s="107"/>
      <c r="H374" s="49"/>
    </row>
    <row r="375">
      <c r="C375" s="107"/>
      <c r="F375" s="107"/>
      <c r="H375" s="49"/>
    </row>
    <row r="376">
      <c r="C376" s="107"/>
      <c r="F376" s="107"/>
      <c r="H376" s="49"/>
    </row>
    <row r="377">
      <c r="C377" s="107"/>
      <c r="F377" s="107"/>
      <c r="H377" s="49"/>
    </row>
    <row r="378">
      <c r="C378" s="107"/>
      <c r="F378" s="107"/>
      <c r="H378" s="49"/>
    </row>
    <row r="379">
      <c r="C379" s="107"/>
      <c r="F379" s="107"/>
      <c r="H379" s="49"/>
    </row>
    <row r="380">
      <c r="C380" s="107"/>
      <c r="F380" s="107"/>
      <c r="H380" s="49"/>
    </row>
    <row r="381">
      <c r="C381" s="107"/>
      <c r="F381" s="107"/>
      <c r="H381" s="49"/>
    </row>
    <row r="382">
      <c r="C382" s="107"/>
      <c r="F382" s="107"/>
      <c r="H382" s="49"/>
    </row>
    <row r="383">
      <c r="C383" s="107"/>
      <c r="F383" s="107"/>
      <c r="H383" s="49"/>
    </row>
    <row r="384">
      <c r="C384" s="107"/>
      <c r="F384" s="107"/>
      <c r="H384" s="49"/>
    </row>
    <row r="385">
      <c r="C385" s="107"/>
      <c r="F385" s="107"/>
      <c r="H385" s="49"/>
    </row>
    <row r="386">
      <c r="C386" s="107"/>
      <c r="F386" s="107"/>
      <c r="H386" s="49"/>
    </row>
    <row r="387">
      <c r="C387" s="107"/>
      <c r="F387" s="107"/>
      <c r="H387" s="49"/>
    </row>
    <row r="388">
      <c r="C388" s="107"/>
      <c r="F388" s="107"/>
      <c r="H388" s="49"/>
    </row>
    <row r="389">
      <c r="C389" s="107"/>
      <c r="F389" s="107"/>
      <c r="H389" s="49"/>
    </row>
    <row r="390">
      <c r="C390" s="107"/>
      <c r="F390" s="107"/>
      <c r="H390" s="49"/>
    </row>
    <row r="391">
      <c r="C391" s="107"/>
      <c r="F391" s="107"/>
      <c r="H391" s="49"/>
    </row>
    <row r="392">
      <c r="C392" s="107"/>
      <c r="F392" s="107"/>
      <c r="H392" s="49"/>
    </row>
    <row r="393">
      <c r="C393" s="107"/>
      <c r="F393" s="107"/>
      <c r="H393" s="49"/>
    </row>
    <row r="394">
      <c r="C394" s="107"/>
      <c r="F394" s="107"/>
      <c r="H394" s="49"/>
    </row>
    <row r="395">
      <c r="C395" s="107"/>
      <c r="F395" s="107"/>
      <c r="H395" s="49"/>
    </row>
    <row r="396">
      <c r="C396" s="107"/>
      <c r="F396" s="107"/>
      <c r="H396" s="49"/>
    </row>
    <row r="397">
      <c r="C397" s="107"/>
      <c r="F397" s="107"/>
      <c r="H397" s="49"/>
    </row>
    <row r="398">
      <c r="C398" s="107"/>
      <c r="F398" s="107"/>
      <c r="H398" s="49"/>
    </row>
    <row r="399">
      <c r="C399" s="107"/>
      <c r="F399" s="107"/>
      <c r="H399" s="49"/>
    </row>
    <row r="400">
      <c r="C400" s="107"/>
      <c r="F400" s="107"/>
      <c r="H400" s="49"/>
    </row>
    <row r="401">
      <c r="C401" s="107"/>
      <c r="F401" s="107"/>
      <c r="H401" s="49"/>
    </row>
    <row r="402">
      <c r="C402" s="107"/>
      <c r="F402" s="107"/>
      <c r="H402" s="49"/>
    </row>
    <row r="403">
      <c r="C403" s="107"/>
      <c r="F403" s="107"/>
      <c r="H403" s="49"/>
    </row>
    <row r="404">
      <c r="C404" s="107"/>
      <c r="F404" s="107"/>
      <c r="H404" s="49"/>
    </row>
    <row r="405">
      <c r="C405" s="107"/>
      <c r="F405" s="107"/>
      <c r="H405" s="49"/>
    </row>
    <row r="406">
      <c r="C406" s="107"/>
      <c r="F406" s="107"/>
      <c r="H406" s="49"/>
    </row>
    <row r="407">
      <c r="C407" s="107"/>
      <c r="F407" s="107"/>
      <c r="H407" s="49"/>
    </row>
    <row r="408">
      <c r="C408" s="107"/>
      <c r="F408" s="107"/>
      <c r="H408" s="49"/>
    </row>
    <row r="409">
      <c r="C409" s="107"/>
      <c r="F409" s="107"/>
      <c r="H409" s="49"/>
    </row>
    <row r="410">
      <c r="C410" s="107"/>
      <c r="F410" s="107"/>
      <c r="H410" s="49"/>
    </row>
    <row r="411">
      <c r="C411" s="107"/>
      <c r="F411" s="107"/>
      <c r="H411" s="49"/>
    </row>
    <row r="412">
      <c r="C412" s="107"/>
      <c r="F412" s="107"/>
      <c r="H412" s="49"/>
    </row>
    <row r="413">
      <c r="C413" s="107"/>
      <c r="F413" s="107"/>
      <c r="H413" s="49"/>
    </row>
    <row r="414">
      <c r="C414" s="107"/>
      <c r="F414" s="107"/>
      <c r="H414" s="49"/>
    </row>
    <row r="415">
      <c r="C415" s="107"/>
      <c r="F415" s="107"/>
      <c r="H415" s="49"/>
    </row>
    <row r="416">
      <c r="C416" s="107"/>
      <c r="F416" s="107"/>
      <c r="H416" s="49"/>
    </row>
    <row r="417">
      <c r="C417" s="107"/>
      <c r="F417" s="107"/>
      <c r="H417" s="49"/>
    </row>
    <row r="418">
      <c r="C418" s="107"/>
      <c r="F418" s="107"/>
      <c r="H418" s="49"/>
    </row>
    <row r="419">
      <c r="C419" s="107"/>
      <c r="F419" s="107"/>
      <c r="H419" s="49"/>
    </row>
    <row r="420">
      <c r="C420" s="107"/>
      <c r="F420" s="107"/>
      <c r="H420" s="49"/>
    </row>
    <row r="421">
      <c r="C421" s="107"/>
      <c r="F421" s="107"/>
      <c r="H421" s="49"/>
    </row>
    <row r="422">
      <c r="C422" s="107"/>
      <c r="F422" s="107"/>
      <c r="H422" s="49"/>
    </row>
    <row r="423">
      <c r="C423" s="107"/>
      <c r="F423" s="107"/>
      <c r="H423" s="49"/>
    </row>
    <row r="424">
      <c r="C424" s="107"/>
      <c r="F424" s="107"/>
      <c r="H424" s="49"/>
    </row>
    <row r="425">
      <c r="C425" s="107"/>
      <c r="F425" s="107"/>
      <c r="H425" s="49"/>
    </row>
    <row r="426">
      <c r="C426" s="107"/>
      <c r="F426" s="107"/>
      <c r="H426" s="49"/>
    </row>
    <row r="427">
      <c r="C427" s="107"/>
      <c r="F427" s="107"/>
      <c r="H427" s="49"/>
    </row>
    <row r="428">
      <c r="C428" s="107"/>
      <c r="F428" s="107"/>
      <c r="H428" s="49"/>
    </row>
    <row r="429">
      <c r="C429" s="107"/>
      <c r="F429" s="107"/>
      <c r="H429" s="49"/>
    </row>
    <row r="430">
      <c r="C430" s="107"/>
      <c r="F430" s="107"/>
      <c r="H430" s="49"/>
    </row>
    <row r="431">
      <c r="C431" s="107"/>
      <c r="F431" s="107"/>
      <c r="H431" s="49"/>
    </row>
    <row r="432">
      <c r="C432" s="107"/>
      <c r="F432" s="107"/>
      <c r="H432" s="49"/>
    </row>
    <row r="433">
      <c r="C433" s="107"/>
      <c r="F433" s="107"/>
      <c r="H433" s="49"/>
    </row>
    <row r="434">
      <c r="C434" s="107"/>
      <c r="F434" s="107"/>
      <c r="H434" s="49"/>
    </row>
    <row r="435">
      <c r="C435" s="107"/>
      <c r="F435" s="107"/>
      <c r="H435" s="49"/>
    </row>
    <row r="436">
      <c r="C436" s="107"/>
      <c r="F436" s="107"/>
      <c r="H436" s="49"/>
    </row>
    <row r="437">
      <c r="C437" s="107"/>
      <c r="F437" s="107"/>
      <c r="H437" s="49"/>
    </row>
    <row r="438">
      <c r="C438" s="107"/>
      <c r="F438" s="107"/>
      <c r="H438" s="49"/>
    </row>
    <row r="439">
      <c r="C439" s="107"/>
      <c r="F439" s="107"/>
      <c r="H439" s="49"/>
    </row>
    <row r="440">
      <c r="C440" s="107"/>
      <c r="F440" s="107"/>
      <c r="H440" s="49"/>
    </row>
    <row r="441">
      <c r="C441" s="107"/>
      <c r="F441" s="107"/>
      <c r="H441" s="49"/>
    </row>
    <row r="442">
      <c r="C442" s="107"/>
      <c r="F442" s="107"/>
      <c r="H442" s="49"/>
    </row>
    <row r="443">
      <c r="C443" s="107"/>
      <c r="F443" s="107"/>
      <c r="H443" s="49"/>
    </row>
    <row r="444">
      <c r="C444" s="107"/>
      <c r="F444" s="107"/>
      <c r="H444" s="49"/>
    </row>
    <row r="445">
      <c r="C445" s="107"/>
      <c r="F445" s="107"/>
      <c r="H445" s="49"/>
    </row>
    <row r="446">
      <c r="C446" s="107"/>
      <c r="F446" s="107"/>
      <c r="H446" s="49"/>
    </row>
    <row r="447">
      <c r="C447" s="107"/>
      <c r="F447" s="107"/>
      <c r="H447" s="49"/>
    </row>
    <row r="448">
      <c r="C448" s="107"/>
      <c r="F448" s="107"/>
      <c r="H448" s="49"/>
    </row>
    <row r="449">
      <c r="C449" s="107"/>
      <c r="F449" s="107"/>
      <c r="H449" s="49"/>
    </row>
    <row r="450">
      <c r="C450" s="107"/>
      <c r="F450" s="107"/>
      <c r="H450" s="49"/>
    </row>
    <row r="451">
      <c r="C451" s="107"/>
      <c r="F451" s="107"/>
      <c r="H451" s="49"/>
    </row>
    <row r="452">
      <c r="C452" s="107"/>
      <c r="F452" s="107"/>
      <c r="H452" s="49"/>
    </row>
    <row r="453">
      <c r="C453" s="107"/>
      <c r="F453" s="107"/>
      <c r="H453" s="49"/>
    </row>
    <row r="454">
      <c r="C454" s="107"/>
      <c r="F454" s="107"/>
      <c r="H454" s="49"/>
    </row>
    <row r="455">
      <c r="C455" s="107"/>
      <c r="F455" s="107"/>
      <c r="H455" s="49"/>
    </row>
    <row r="456">
      <c r="C456" s="107"/>
      <c r="F456" s="107"/>
      <c r="H456" s="49"/>
    </row>
    <row r="457">
      <c r="C457" s="107"/>
      <c r="F457" s="107"/>
      <c r="H457" s="49"/>
    </row>
    <row r="458">
      <c r="C458" s="107"/>
      <c r="F458" s="107"/>
      <c r="H458" s="49"/>
    </row>
    <row r="459">
      <c r="C459" s="107"/>
      <c r="F459" s="107"/>
      <c r="H459" s="49"/>
    </row>
    <row r="460">
      <c r="C460" s="107"/>
      <c r="F460" s="107"/>
      <c r="H460" s="49"/>
    </row>
    <row r="461">
      <c r="C461" s="107"/>
      <c r="F461" s="107"/>
      <c r="H461" s="49"/>
    </row>
    <row r="462">
      <c r="C462" s="107"/>
      <c r="F462" s="107"/>
      <c r="H462" s="49"/>
    </row>
    <row r="463">
      <c r="C463" s="107"/>
      <c r="F463" s="107"/>
      <c r="H463" s="49"/>
    </row>
    <row r="464">
      <c r="C464" s="107"/>
      <c r="F464" s="107"/>
      <c r="H464" s="49"/>
    </row>
    <row r="465">
      <c r="C465" s="107"/>
      <c r="F465" s="107"/>
      <c r="H465" s="49"/>
    </row>
    <row r="466">
      <c r="C466" s="107"/>
      <c r="F466" s="107"/>
      <c r="H466" s="49"/>
    </row>
    <row r="467">
      <c r="C467" s="107"/>
      <c r="F467" s="107"/>
      <c r="H467" s="49"/>
    </row>
    <row r="468">
      <c r="C468" s="107"/>
      <c r="F468" s="107"/>
      <c r="H468" s="49"/>
    </row>
    <row r="469">
      <c r="C469" s="107"/>
      <c r="F469" s="107"/>
      <c r="H469" s="49"/>
    </row>
    <row r="470">
      <c r="C470" s="107"/>
      <c r="F470" s="107"/>
      <c r="H470" s="49"/>
    </row>
    <row r="471">
      <c r="C471" s="107"/>
      <c r="F471" s="107"/>
      <c r="H471" s="49"/>
    </row>
    <row r="472">
      <c r="C472" s="107"/>
      <c r="F472" s="107"/>
      <c r="H472" s="49"/>
    </row>
    <row r="473">
      <c r="C473" s="107"/>
      <c r="F473" s="107"/>
      <c r="H473" s="49"/>
    </row>
    <row r="474">
      <c r="C474" s="107"/>
      <c r="F474" s="107"/>
      <c r="H474" s="49"/>
    </row>
    <row r="475">
      <c r="C475" s="107"/>
      <c r="F475" s="107"/>
      <c r="H475" s="49"/>
    </row>
    <row r="476">
      <c r="C476" s="107"/>
      <c r="F476" s="107"/>
      <c r="H476" s="49"/>
    </row>
    <row r="477">
      <c r="C477" s="107"/>
      <c r="F477" s="107"/>
      <c r="H477" s="49"/>
    </row>
    <row r="478">
      <c r="C478" s="107"/>
      <c r="F478" s="107"/>
      <c r="H478" s="49"/>
    </row>
    <row r="479">
      <c r="C479" s="107"/>
      <c r="F479" s="107"/>
      <c r="H479" s="49"/>
    </row>
    <row r="480">
      <c r="C480" s="107"/>
      <c r="F480" s="107"/>
      <c r="H480" s="49"/>
    </row>
    <row r="481">
      <c r="C481" s="107"/>
      <c r="F481" s="107"/>
      <c r="H481" s="49"/>
    </row>
    <row r="482">
      <c r="C482" s="107"/>
      <c r="F482" s="107"/>
      <c r="H482" s="49"/>
    </row>
    <row r="483">
      <c r="C483" s="107"/>
      <c r="F483" s="107"/>
      <c r="H483" s="49"/>
    </row>
    <row r="484">
      <c r="C484" s="107"/>
      <c r="F484" s="107"/>
      <c r="H484" s="49"/>
    </row>
    <row r="485">
      <c r="C485" s="107"/>
      <c r="F485" s="107"/>
      <c r="H485" s="49"/>
    </row>
    <row r="486">
      <c r="C486" s="107"/>
      <c r="F486" s="107"/>
      <c r="H486" s="49"/>
    </row>
    <row r="487">
      <c r="C487" s="107"/>
      <c r="F487" s="107"/>
      <c r="H487" s="49"/>
    </row>
    <row r="488">
      <c r="C488" s="107"/>
      <c r="F488" s="107"/>
      <c r="H488" s="49"/>
    </row>
    <row r="489">
      <c r="C489" s="107"/>
      <c r="F489" s="107"/>
      <c r="H489" s="49"/>
    </row>
    <row r="490">
      <c r="C490" s="107"/>
      <c r="F490" s="107"/>
      <c r="H490" s="49"/>
    </row>
    <row r="491">
      <c r="C491" s="107"/>
      <c r="F491" s="107"/>
      <c r="H491" s="49"/>
    </row>
    <row r="492">
      <c r="C492" s="107"/>
      <c r="F492" s="107"/>
      <c r="H492" s="49"/>
    </row>
    <row r="493">
      <c r="C493" s="107"/>
      <c r="F493" s="107"/>
      <c r="H493" s="49"/>
    </row>
    <row r="494">
      <c r="C494" s="107"/>
      <c r="F494" s="107"/>
      <c r="H494" s="49"/>
    </row>
    <row r="495">
      <c r="C495" s="107"/>
      <c r="F495" s="107"/>
      <c r="H495" s="49"/>
    </row>
    <row r="496">
      <c r="C496" s="107"/>
      <c r="F496" s="107"/>
      <c r="H496" s="49"/>
    </row>
    <row r="497">
      <c r="C497" s="107"/>
      <c r="F497" s="107"/>
      <c r="H497" s="49"/>
    </row>
    <row r="498">
      <c r="C498" s="107"/>
      <c r="F498" s="107"/>
      <c r="H498" s="49"/>
    </row>
    <row r="499">
      <c r="C499" s="107"/>
      <c r="F499" s="107"/>
      <c r="H499" s="49"/>
    </row>
    <row r="500">
      <c r="C500" s="107"/>
      <c r="F500" s="107"/>
      <c r="H500" s="49"/>
    </row>
    <row r="501">
      <c r="C501" s="107"/>
      <c r="F501" s="107"/>
      <c r="H501" s="49"/>
    </row>
    <row r="502">
      <c r="C502" s="107"/>
      <c r="F502" s="107"/>
      <c r="H502" s="49"/>
    </row>
    <row r="503">
      <c r="C503" s="107"/>
      <c r="F503" s="107"/>
      <c r="H503" s="49"/>
    </row>
    <row r="504">
      <c r="C504" s="107"/>
      <c r="F504" s="107"/>
      <c r="H504" s="49"/>
    </row>
    <row r="505">
      <c r="C505" s="107"/>
      <c r="F505" s="107"/>
      <c r="H505" s="49"/>
    </row>
    <row r="506">
      <c r="C506" s="107"/>
      <c r="F506" s="107"/>
      <c r="H506" s="49"/>
    </row>
    <row r="507">
      <c r="C507" s="107"/>
      <c r="F507" s="107"/>
      <c r="H507" s="49"/>
    </row>
    <row r="508">
      <c r="C508" s="107"/>
      <c r="F508" s="107"/>
      <c r="H508" s="49"/>
    </row>
    <row r="509">
      <c r="C509" s="107"/>
      <c r="F509" s="107"/>
      <c r="H509" s="49"/>
    </row>
    <row r="510">
      <c r="C510" s="107"/>
      <c r="F510" s="107"/>
      <c r="H510" s="49"/>
    </row>
    <row r="511">
      <c r="C511" s="107"/>
      <c r="F511" s="107"/>
      <c r="H511" s="49"/>
    </row>
    <row r="512">
      <c r="C512" s="107"/>
      <c r="F512" s="107"/>
      <c r="H512" s="49"/>
    </row>
    <row r="513">
      <c r="C513" s="107"/>
      <c r="F513" s="107"/>
      <c r="H513" s="49"/>
    </row>
    <row r="514">
      <c r="C514" s="107"/>
      <c r="F514" s="107"/>
      <c r="H514" s="49"/>
    </row>
    <row r="515">
      <c r="C515" s="107"/>
      <c r="F515" s="107"/>
      <c r="H515" s="49"/>
    </row>
    <row r="516">
      <c r="C516" s="107"/>
      <c r="F516" s="107"/>
      <c r="H516" s="49"/>
    </row>
    <row r="517">
      <c r="C517" s="107"/>
      <c r="F517" s="107"/>
      <c r="H517" s="49"/>
    </row>
    <row r="518">
      <c r="C518" s="107"/>
      <c r="F518" s="107"/>
      <c r="H518" s="49"/>
    </row>
    <row r="519">
      <c r="C519" s="107"/>
      <c r="F519" s="107"/>
      <c r="H519" s="49"/>
    </row>
    <row r="520">
      <c r="C520" s="107"/>
      <c r="F520" s="107"/>
      <c r="H520" s="49"/>
    </row>
    <row r="521">
      <c r="C521" s="107"/>
      <c r="F521" s="107"/>
      <c r="H521" s="49"/>
    </row>
    <row r="522">
      <c r="C522" s="107"/>
      <c r="F522" s="107"/>
      <c r="H522" s="49"/>
    </row>
    <row r="523">
      <c r="C523" s="107"/>
      <c r="F523" s="107"/>
      <c r="H523" s="49"/>
    </row>
    <row r="524">
      <c r="C524" s="107"/>
      <c r="F524" s="107"/>
      <c r="H524" s="49"/>
    </row>
    <row r="525">
      <c r="C525" s="107"/>
      <c r="F525" s="107"/>
      <c r="H525" s="49"/>
    </row>
    <row r="526">
      <c r="C526" s="107"/>
      <c r="F526" s="107"/>
      <c r="H526" s="49"/>
    </row>
    <row r="527">
      <c r="C527" s="107"/>
      <c r="F527" s="107"/>
      <c r="H527" s="49"/>
    </row>
    <row r="528">
      <c r="C528" s="107"/>
      <c r="F528" s="107"/>
      <c r="H528" s="49"/>
    </row>
    <row r="529">
      <c r="C529" s="107"/>
      <c r="F529" s="107"/>
      <c r="H529" s="49"/>
    </row>
    <row r="530">
      <c r="C530" s="107"/>
      <c r="F530" s="107"/>
      <c r="H530" s="49"/>
    </row>
    <row r="531">
      <c r="C531" s="107"/>
      <c r="F531" s="107"/>
      <c r="H531" s="49"/>
    </row>
    <row r="532">
      <c r="C532" s="107"/>
      <c r="F532" s="107"/>
      <c r="H532" s="49"/>
    </row>
    <row r="533">
      <c r="C533" s="107"/>
      <c r="F533" s="107"/>
      <c r="H533" s="49"/>
    </row>
    <row r="534">
      <c r="C534" s="107"/>
      <c r="F534" s="107"/>
      <c r="H534" s="49"/>
    </row>
    <row r="535">
      <c r="C535" s="107"/>
      <c r="F535" s="107"/>
      <c r="H535" s="49"/>
    </row>
    <row r="536">
      <c r="C536" s="107"/>
      <c r="F536" s="107"/>
      <c r="H536" s="49"/>
    </row>
    <row r="537">
      <c r="C537" s="107"/>
      <c r="F537" s="107"/>
      <c r="H537" s="49"/>
    </row>
    <row r="538">
      <c r="C538" s="107"/>
      <c r="F538" s="107"/>
      <c r="H538" s="49"/>
    </row>
    <row r="539">
      <c r="C539" s="107"/>
      <c r="F539" s="107"/>
      <c r="H539" s="49"/>
    </row>
    <row r="540">
      <c r="C540" s="107"/>
      <c r="F540" s="107"/>
      <c r="H540" s="49"/>
    </row>
    <row r="541">
      <c r="C541" s="107"/>
      <c r="F541" s="107"/>
      <c r="H541" s="49"/>
    </row>
    <row r="542">
      <c r="C542" s="107"/>
      <c r="F542" s="107"/>
      <c r="H542" s="49"/>
    </row>
    <row r="543">
      <c r="C543" s="107"/>
      <c r="F543" s="107"/>
      <c r="H543" s="49"/>
    </row>
    <row r="544">
      <c r="C544" s="107"/>
      <c r="F544" s="107"/>
      <c r="H544" s="49"/>
    </row>
    <row r="545">
      <c r="C545" s="107"/>
      <c r="F545" s="107"/>
      <c r="H545" s="49"/>
    </row>
    <row r="546">
      <c r="C546" s="107"/>
      <c r="F546" s="107"/>
      <c r="H546" s="49"/>
    </row>
    <row r="547">
      <c r="C547" s="107"/>
      <c r="F547" s="107"/>
      <c r="H547" s="49"/>
    </row>
    <row r="548">
      <c r="C548" s="107"/>
      <c r="F548" s="107"/>
      <c r="H548" s="49"/>
    </row>
    <row r="549">
      <c r="C549" s="107"/>
      <c r="F549" s="107"/>
      <c r="H549" s="49"/>
    </row>
    <row r="550">
      <c r="C550" s="107"/>
      <c r="F550" s="107"/>
      <c r="H550" s="49"/>
    </row>
    <row r="551">
      <c r="C551" s="107"/>
      <c r="F551" s="107"/>
      <c r="H551" s="49"/>
    </row>
    <row r="552">
      <c r="C552" s="107"/>
      <c r="F552" s="107"/>
      <c r="H552" s="49"/>
    </row>
    <row r="553">
      <c r="C553" s="107"/>
      <c r="F553" s="107"/>
      <c r="H553" s="49"/>
    </row>
    <row r="554">
      <c r="C554" s="107"/>
      <c r="F554" s="107"/>
      <c r="H554" s="49"/>
    </row>
    <row r="555">
      <c r="C555" s="107"/>
      <c r="F555" s="107"/>
      <c r="H555" s="49"/>
    </row>
    <row r="556">
      <c r="C556" s="107"/>
      <c r="F556" s="107"/>
      <c r="H556" s="49"/>
    </row>
    <row r="557">
      <c r="C557" s="107"/>
      <c r="F557" s="107"/>
      <c r="H557" s="49"/>
    </row>
    <row r="558">
      <c r="C558" s="107"/>
      <c r="F558" s="107"/>
      <c r="H558" s="49"/>
    </row>
    <row r="559">
      <c r="C559" s="107"/>
      <c r="F559" s="107"/>
      <c r="H559" s="49"/>
    </row>
    <row r="560">
      <c r="C560" s="107"/>
      <c r="F560" s="107"/>
      <c r="H560" s="49"/>
    </row>
    <row r="561">
      <c r="C561" s="107"/>
      <c r="F561" s="107"/>
      <c r="H561" s="49"/>
    </row>
    <row r="562">
      <c r="C562" s="107"/>
      <c r="F562" s="107"/>
      <c r="H562" s="49"/>
    </row>
    <row r="563">
      <c r="C563" s="107"/>
      <c r="F563" s="107"/>
      <c r="H563" s="49"/>
    </row>
    <row r="564">
      <c r="C564" s="107"/>
      <c r="F564" s="107"/>
      <c r="H564" s="49"/>
    </row>
    <row r="565">
      <c r="C565" s="107"/>
      <c r="F565" s="107"/>
      <c r="H565" s="49"/>
    </row>
    <row r="566">
      <c r="C566" s="107"/>
      <c r="F566" s="107"/>
      <c r="H566" s="49"/>
    </row>
    <row r="567">
      <c r="C567" s="107"/>
      <c r="F567" s="107"/>
      <c r="H567" s="49"/>
    </row>
    <row r="568">
      <c r="C568" s="107"/>
      <c r="F568" s="107"/>
      <c r="H568" s="49"/>
    </row>
    <row r="569">
      <c r="C569" s="107"/>
      <c r="F569" s="107"/>
      <c r="H569" s="49"/>
    </row>
    <row r="570">
      <c r="C570" s="107"/>
      <c r="F570" s="107"/>
      <c r="H570" s="49"/>
    </row>
    <row r="571">
      <c r="C571" s="107"/>
      <c r="F571" s="107"/>
      <c r="H571" s="49"/>
    </row>
    <row r="572">
      <c r="C572" s="107"/>
      <c r="F572" s="107"/>
      <c r="H572" s="49"/>
    </row>
    <row r="573">
      <c r="C573" s="107"/>
      <c r="F573" s="107"/>
      <c r="H573" s="49"/>
    </row>
    <row r="574">
      <c r="C574" s="107"/>
      <c r="F574" s="107"/>
      <c r="H574" s="49"/>
    </row>
    <row r="575">
      <c r="C575" s="107"/>
      <c r="F575" s="107"/>
      <c r="H575" s="49"/>
    </row>
    <row r="576">
      <c r="C576" s="107"/>
      <c r="F576" s="107"/>
      <c r="H576" s="49"/>
    </row>
    <row r="577">
      <c r="C577" s="107"/>
      <c r="F577" s="107"/>
      <c r="H577" s="49"/>
    </row>
    <row r="578">
      <c r="C578" s="107"/>
      <c r="F578" s="107"/>
      <c r="H578" s="49"/>
    </row>
    <row r="579">
      <c r="C579" s="107"/>
      <c r="F579" s="107"/>
      <c r="H579" s="49"/>
    </row>
    <row r="580">
      <c r="C580" s="107"/>
      <c r="F580" s="107"/>
      <c r="H580" s="49"/>
    </row>
    <row r="581">
      <c r="C581" s="107"/>
      <c r="F581" s="107"/>
      <c r="H581" s="49"/>
    </row>
    <row r="582">
      <c r="C582" s="107"/>
      <c r="F582" s="107"/>
      <c r="H582" s="49"/>
    </row>
    <row r="583">
      <c r="C583" s="107"/>
      <c r="F583" s="107"/>
      <c r="H583" s="49"/>
    </row>
    <row r="584">
      <c r="C584" s="107"/>
      <c r="F584" s="107"/>
      <c r="H584" s="49"/>
    </row>
    <row r="585">
      <c r="C585" s="107"/>
      <c r="F585" s="107"/>
      <c r="H585" s="49"/>
    </row>
    <row r="586">
      <c r="C586" s="107"/>
      <c r="F586" s="107"/>
      <c r="H586" s="49"/>
    </row>
    <row r="587">
      <c r="C587" s="107"/>
      <c r="F587" s="107"/>
      <c r="H587" s="49"/>
    </row>
    <row r="588">
      <c r="C588" s="107"/>
      <c r="F588" s="107"/>
      <c r="H588" s="49"/>
    </row>
    <row r="589">
      <c r="C589" s="107"/>
      <c r="F589" s="107"/>
      <c r="H589" s="49"/>
    </row>
    <row r="590">
      <c r="C590" s="107"/>
      <c r="F590" s="107"/>
      <c r="H590" s="49"/>
    </row>
    <row r="591">
      <c r="C591" s="107"/>
      <c r="F591" s="107"/>
      <c r="H591" s="49"/>
    </row>
    <row r="592">
      <c r="C592" s="107"/>
      <c r="F592" s="107"/>
      <c r="H592" s="49"/>
    </row>
    <row r="593">
      <c r="C593" s="107"/>
      <c r="F593" s="107"/>
      <c r="H593" s="49"/>
    </row>
    <row r="594">
      <c r="C594" s="107"/>
      <c r="F594" s="107"/>
      <c r="H594" s="49"/>
    </row>
    <row r="595">
      <c r="C595" s="107"/>
      <c r="F595" s="107"/>
      <c r="H595" s="49"/>
    </row>
    <row r="596">
      <c r="C596" s="107"/>
      <c r="F596" s="107"/>
      <c r="H596" s="49"/>
    </row>
    <row r="597">
      <c r="C597" s="107"/>
      <c r="F597" s="107"/>
      <c r="H597" s="49"/>
    </row>
    <row r="598">
      <c r="C598" s="107"/>
      <c r="F598" s="107"/>
      <c r="H598" s="49"/>
    </row>
    <row r="599">
      <c r="C599" s="107"/>
      <c r="F599" s="107"/>
      <c r="H599" s="49"/>
    </row>
    <row r="600">
      <c r="C600" s="107"/>
      <c r="F600" s="107"/>
      <c r="H600" s="49"/>
    </row>
    <row r="601">
      <c r="C601" s="107"/>
      <c r="F601" s="107"/>
      <c r="H601" s="49"/>
    </row>
    <row r="602">
      <c r="C602" s="107"/>
      <c r="F602" s="107"/>
      <c r="H602" s="49"/>
    </row>
    <row r="603">
      <c r="C603" s="107"/>
      <c r="F603" s="107"/>
      <c r="H603" s="49"/>
    </row>
    <row r="604">
      <c r="C604" s="107"/>
      <c r="F604" s="107"/>
      <c r="H604" s="49"/>
    </row>
    <row r="605">
      <c r="C605" s="107"/>
      <c r="F605" s="107"/>
      <c r="H605" s="49"/>
    </row>
    <row r="606">
      <c r="C606" s="107"/>
      <c r="F606" s="107"/>
      <c r="H606" s="49"/>
    </row>
    <row r="607">
      <c r="C607" s="107"/>
      <c r="F607" s="107"/>
      <c r="H607" s="49"/>
    </row>
    <row r="608">
      <c r="C608" s="107"/>
      <c r="F608" s="107"/>
      <c r="H608" s="49"/>
    </row>
    <row r="609">
      <c r="C609" s="107"/>
      <c r="F609" s="107"/>
      <c r="H609" s="49"/>
    </row>
    <row r="610">
      <c r="C610" s="107"/>
      <c r="F610" s="107"/>
      <c r="H610" s="49"/>
    </row>
    <row r="611">
      <c r="C611" s="107"/>
      <c r="F611" s="107"/>
      <c r="H611" s="49"/>
    </row>
    <row r="612">
      <c r="C612" s="107"/>
      <c r="F612" s="107"/>
      <c r="H612" s="49"/>
    </row>
    <row r="613">
      <c r="C613" s="107"/>
      <c r="F613" s="107"/>
      <c r="H613" s="49"/>
    </row>
    <row r="614">
      <c r="C614" s="107"/>
      <c r="F614" s="107"/>
      <c r="H614" s="49"/>
    </row>
    <row r="615">
      <c r="C615" s="107"/>
      <c r="F615" s="107"/>
      <c r="H615" s="49"/>
    </row>
    <row r="616">
      <c r="C616" s="107"/>
      <c r="F616" s="107"/>
      <c r="H616" s="49"/>
    </row>
    <row r="617">
      <c r="C617" s="107"/>
      <c r="F617" s="107"/>
      <c r="H617" s="49"/>
    </row>
    <row r="618">
      <c r="C618" s="107"/>
      <c r="F618" s="107"/>
      <c r="H618" s="49"/>
    </row>
    <row r="619">
      <c r="C619" s="107"/>
      <c r="F619" s="107"/>
      <c r="H619" s="49"/>
    </row>
    <row r="620">
      <c r="C620" s="107"/>
      <c r="F620" s="107"/>
      <c r="H620" s="49"/>
    </row>
    <row r="621">
      <c r="C621" s="107"/>
      <c r="F621" s="107"/>
      <c r="H621" s="49"/>
    </row>
    <row r="622">
      <c r="C622" s="107"/>
      <c r="F622" s="107"/>
      <c r="H622" s="49"/>
    </row>
    <row r="623">
      <c r="C623" s="107"/>
      <c r="F623" s="107"/>
      <c r="H623" s="49"/>
    </row>
    <row r="624">
      <c r="C624" s="107"/>
      <c r="F624" s="107"/>
      <c r="H624" s="49"/>
    </row>
    <row r="625">
      <c r="C625" s="107"/>
      <c r="F625" s="107"/>
      <c r="H625" s="49"/>
    </row>
    <row r="626">
      <c r="C626" s="107"/>
      <c r="F626" s="107"/>
      <c r="H626" s="49"/>
    </row>
    <row r="627">
      <c r="C627" s="107"/>
      <c r="F627" s="107"/>
      <c r="H627" s="49"/>
    </row>
    <row r="628">
      <c r="C628" s="107"/>
      <c r="F628" s="107"/>
      <c r="H628" s="49"/>
    </row>
    <row r="629">
      <c r="C629" s="107"/>
      <c r="F629" s="107"/>
      <c r="H629" s="49"/>
    </row>
    <row r="630">
      <c r="C630" s="107"/>
      <c r="F630" s="107"/>
      <c r="H630" s="49"/>
    </row>
    <row r="631">
      <c r="C631" s="107"/>
      <c r="F631" s="107"/>
      <c r="H631" s="49"/>
    </row>
    <row r="632">
      <c r="C632" s="107"/>
      <c r="F632" s="107"/>
      <c r="H632" s="49"/>
    </row>
    <row r="633">
      <c r="C633" s="107"/>
      <c r="F633" s="107"/>
      <c r="H633" s="49"/>
    </row>
    <row r="634">
      <c r="C634" s="107"/>
      <c r="F634" s="107"/>
      <c r="H634" s="49"/>
    </row>
    <row r="635">
      <c r="C635" s="107"/>
      <c r="F635" s="107"/>
      <c r="H635" s="49"/>
    </row>
    <row r="636">
      <c r="C636" s="107"/>
      <c r="F636" s="107"/>
      <c r="H636" s="49"/>
    </row>
    <row r="637">
      <c r="C637" s="107"/>
      <c r="F637" s="107"/>
      <c r="H637" s="49"/>
    </row>
    <row r="638">
      <c r="C638" s="107"/>
      <c r="F638" s="107"/>
      <c r="H638" s="49"/>
    </row>
    <row r="639">
      <c r="C639" s="107"/>
      <c r="F639" s="107"/>
      <c r="H639" s="49"/>
    </row>
    <row r="640">
      <c r="C640" s="107"/>
      <c r="F640" s="107"/>
      <c r="H640" s="49"/>
    </row>
    <row r="641">
      <c r="C641" s="107"/>
      <c r="F641" s="107"/>
      <c r="H641" s="49"/>
    </row>
    <row r="642">
      <c r="C642" s="107"/>
      <c r="F642" s="107"/>
      <c r="H642" s="49"/>
    </row>
    <row r="643">
      <c r="C643" s="107"/>
      <c r="F643" s="107"/>
      <c r="H643" s="49"/>
    </row>
    <row r="644">
      <c r="C644" s="107"/>
      <c r="F644" s="107"/>
      <c r="H644" s="49"/>
    </row>
    <row r="645">
      <c r="C645" s="107"/>
      <c r="F645" s="107"/>
      <c r="H645" s="49"/>
    </row>
    <row r="646">
      <c r="C646" s="107"/>
      <c r="F646" s="107"/>
      <c r="H646" s="49"/>
    </row>
    <row r="647">
      <c r="C647" s="107"/>
      <c r="F647" s="107"/>
      <c r="H647" s="49"/>
    </row>
    <row r="648">
      <c r="C648" s="107"/>
      <c r="F648" s="107"/>
      <c r="H648" s="49"/>
    </row>
    <row r="649">
      <c r="C649" s="107"/>
      <c r="F649" s="107"/>
      <c r="H649" s="49"/>
    </row>
    <row r="650">
      <c r="C650" s="107"/>
      <c r="F650" s="107"/>
      <c r="H650" s="49"/>
    </row>
    <row r="651">
      <c r="C651" s="107"/>
      <c r="F651" s="107"/>
      <c r="H651" s="49"/>
    </row>
    <row r="652">
      <c r="C652" s="107"/>
      <c r="F652" s="107"/>
      <c r="H652" s="49"/>
    </row>
    <row r="653">
      <c r="C653" s="107"/>
      <c r="F653" s="107"/>
      <c r="H653" s="49"/>
    </row>
    <row r="654">
      <c r="C654" s="107"/>
      <c r="F654" s="107"/>
      <c r="H654" s="49"/>
    </row>
    <row r="655">
      <c r="C655" s="107"/>
      <c r="F655" s="107"/>
      <c r="H655" s="49"/>
    </row>
    <row r="656">
      <c r="C656" s="107"/>
      <c r="F656" s="107"/>
      <c r="H656" s="49"/>
    </row>
    <row r="657">
      <c r="C657" s="107"/>
      <c r="F657" s="107"/>
      <c r="H657" s="49"/>
    </row>
    <row r="658">
      <c r="C658" s="107"/>
      <c r="F658" s="107"/>
      <c r="H658" s="49"/>
    </row>
    <row r="659">
      <c r="C659" s="107"/>
      <c r="F659" s="107"/>
      <c r="H659" s="49"/>
    </row>
    <row r="660">
      <c r="C660" s="107"/>
      <c r="F660" s="107"/>
      <c r="H660" s="49"/>
    </row>
    <row r="661">
      <c r="C661" s="107"/>
      <c r="F661" s="107"/>
      <c r="H661" s="49"/>
    </row>
    <row r="662">
      <c r="C662" s="107"/>
      <c r="F662" s="107"/>
      <c r="H662" s="49"/>
    </row>
    <row r="663">
      <c r="C663" s="107"/>
      <c r="F663" s="107"/>
      <c r="H663" s="49"/>
    </row>
    <row r="664">
      <c r="C664" s="107"/>
      <c r="F664" s="107"/>
      <c r="H664" s="49"/>
    </row>
    <row r="665">
      <c r="C665" s="107"/>
      <c r="F665" s="107"/>
      <c r="H665" s="49"/>
    </row>
    <row r="666">
      <c r="C666" s="107"/>
      <c r="F666" s="107"/>
      <c r="H666" s="49"/>
    </row>
    <row r="667">
      <c r="C667" s="107"/>
      <c r="F667" s="107"/>
      <c r="H667" s="49"/>
    </row>
    <row r="668">
      <c r="C668" s="107"/>
      <c r="F668" s="107"/>
      <c r="H668" s="49"/>
    </row>
    <row r="669">
      <c r="C669" s="107"/>
      <c r="F669" s="107"/>
      <c r="H669" s="49"/>
    </row>
    <row r="670">
      <c r="C670" s="107"/>
      <c r="F670" s="107"/>
      <c r="H670" s="49"/>
    </row>
    <row r="671">
      <c r="C671" s="107"/>
      <c r="F671" s="107"/>
      <c r="H671" s="49"/>
    </row>
    <row r="672">
      <c r="C672" s="107"/>
      <c r="F672" s="107"/>
      <c r="H672" s="49"/>
    </row>
    <row r="673">
      <c r="C673" s="107"/>
      <c r="F673" s="107"/>
      <c r="H673" s="49"/>
    </row>
    <row r="674">
      <c r="C674" s="107"/>
      <c r="F674" s="107"/>
      <c r="H674" s="49"/>
    </row>
    <row r="675">
      <c r="C675" s="107"/>
      <c r="F675" s="107"/>
      <c r="H675" s="49"/>
    </row>
    <row r="676">
      <c r="C676" s="107"/>
      <c r="F676" s="107"/>
      <c r="H676" s="49"/>
    </row>
    <row r="677">
      <c r="C677" s="107"/>
      <c r="F677" s="107"/>
      <c r="H677" s="49"/>
    </row>
    <row r="678">
      <c r="C678" s="107"/>
      <c r="F678" s="107"/>
      <c r="H678" s="49"/>
    </row>
    <row r="679">
      <c r="C679" s="107"/>
      <c r="F679" s="107"/>
      <c r="H679" s="49"/>
    </row>
    <row r="680">
      <c r="C680" s="107"/>
      <c r="F680" s="107"/>
      <c r="H680" s="49"/>
    </row>
    <row r="681">
      <c r="C681" s="107"/>
      <c r="F681" s="107"/>
      <c r="H681" s="49"/>
    </row>
    <row r="682">
      <c r="C682" s="107"/>
      <c r="F682" s="107"/>
      <c r="H682" s="49"/>
    </row>
    <row r="683">
      <c r="C683" s="107"/>
      <c r="F683" s="107"/>
      <c r="H683" s="49"/>
    </row>
    <row r="684">
      <c r="C684" s="107"/>
      <c r="F684" s="107"/>
      <c r="H684" s="49"/>
    </row>
    <row r="685">
      <c r="C685" s="107"/>
      <c r="F685" s="107"/>
      <c r="H685" s="49"/>
    </row>
    <row r="686">
      <c r="C686" s="107"/>
      <c r="F686" s="107"/>
      <c r="H686" s="49"/>
    </row>
    <row r="687">
      <c r="C687" s="107"/>
      <c r="F687" s="107"/>
      <c r="H687" s="49"/>
    </row>
    <row r="688">
      <c r="C688" s="107"/>
      <c r="F688" s="107"/>
      <c r="H688" s="49"/>
    </row>
    <row r="689">
      <c r="C689" s="107"/>
      <c r="F689" s="107"/>
      <c r="H689" s="49"/>
    </row>
    <row r="690">
      <c r="C690" s="107"/>
      <c r="F690" s="107"/>
      <c r="H690" s="49"/>
    </row>
    <row r="691">
      <c r="C691" s="107"/>
      <c r="F691" s="107"/>
      <c r="H691" s="49"/>
    </row>
    <row r="692">
      <c r="C692" s="107"/>
      <c r="F692" s="107"/>
      <c r="H692" s="49"/>
    </row>
    <row r="693">
      <c r="C693" s="107"/>
      <c r="F693" s="107"/>
      <c r="H693" s="49"/>
    </row>
    <row r="694">
      <c r="C694" s="107"/>
      <c r="F694" s="107"/>
      <c r="H694" s="49"/>
    </row>
    <row r="695">
      <c r="C695" s="107"/>
      <c r="F695" s="107"/>
      <c r="H695" s="49"/>
    </row>
    <row r="696">
      <c r="C696" s="107"/>
      <c r="F696" s="107"/>
      <c r="H696" s="49"/>
    </row>
    <row r="697">
      <c r="C697" s="107"/>
      <c r="F697" s="107"/>
      <c r="H697" s="49"/>
    </row>
    <row r="698">
      <c r="C698" s="107"/>
      <c r="F698" s="107"/>
      <c r="H698" s="49"/>
    </row>
    <row r="699">
      <c r="C699" s="107"/>
      <c r="F699" s="107"/>
      <c r="H699" s="49"/>
    </row>
    <row r="700">
      <c r="C700" s="107"/>
      <c r="F700" s="107"/>
      <c r="H700" s="49"/>
    </row>
    <row r="701">
      <c r="C701" s="107"/>
      <c r="F701" s="107"/>
      <c r="H701" s="49"/>
    </row>
    <row r="702">
      <c r="C702" s="107"/>
      <c r="F702" s="107"/>
      <c r="H702" s="49"/>
    </row>
    <row r="703">
      <c r="C703" s="107"/>
      <c r="F703" s="107"/>
      <c r="H703" s="49"/>
    </row>
    <row r="704">
      <c r="C704" s="107"/>
      <c r="F704" s="107"/>
      <c r="H704" s="49"/>
    </row>
    <row r="705">
      <c r="C705" s="107"/>
      <c r="F705" s="107"/>
      <c r="H705" s="49"/>
    </row>
    <row r="706">
      <c r="C706" s="107"/>
      <c r="F706" s="107"/>
      <c r="H706" s="49"/>
    </row>
    <row r="707">
      <c r="C707" s="107"/>
      <c r="F707" s="107"/>
      <c r="H707" s="49"/>
    </row>
    <row r="708">
      <c r="C708" s="107"/>
      <c r="F708" s="107"/>
      <c r="H708" s="49"/>
    </row>
    <row r="709">
      <c r="C709" s="107"/>
      <c r="F709" s="107"/>
      <c r="H709" s="49"/>
    </row>
    <row r="710">
      <c r="C710" s="107"/>
      <c r="F710" s="107"/>
      <c r="H710" s="49"/>
    </row>
    <row r="711">
      <c r="C711" s="107"/>
      <c r="F711" s="107"/>
      <c r="H711" s="49"/>
    </row>
    <row r="712">
      <c r="C712" s="107"/>
      <c r="F712" s="107"/>
      <c r="H712" s="49"/>
    </row>
    <row r="713">
      <c r="C713" s="107"/>
      <c r="F713" s="107"/>
      <c r="H713" s="49"/>
    </row>
    <row r="714">
      <c r="C714" s="107"/>
      <c r="F714" s="107"/>
      <c r="H714" s="49"/>
    </row>
    <row r="715">
      <c r="C715" s="107"/>
      <c r="F715" s="107"/>
      <c r="H715" s="49"/>
    </row>
    <row r="716">
      <c r="C716" s="107"/>
      <c r="F716" s="107"/>
      <c r="H716" s="49"/>
    </row>
    <row r="717">
      <c r="C717" s="107"/>
      <c r="F717" s="107"/>
      <c r="H717" s="49"/>
    </row>
    <row r="718">
      <c r="C718" s="107"/>
      <c r="F718" s="107"/>
      <c r="H718" s="49"/>
    </row>
    <row r="719">
      <c r="C719" s="107"/>
      <c r="F719" s="107"/>
      <c r="H719" s="49"/>
    </row>
    <row r="720">
      <c r="C720" s="107"/>
      <c r="F720" s="107"/>
      <c r="H720" s="49"/>
    </row>
    <row r="721">
      <c r="C721" s="107"/>
      <c r="F721" s="107"/>
      <c r="H721" s="49"/>
    </row>
    <row r="722">
      <c r="C722" s="107"/>
      <c r="F722" s="107"/>
      <c r="H722" s="49"/>
    </row>
    <row r="723">
      <c r="C723" s="107"/>
      <c r="F723" s="107"/>
      <c r="H723" s="49"/>
    </row>
    <row r="724">
      <c r="C724" s="107"/>
      <c r="F724" s="107"/>
      <c r="H724" s="49"/>
    </row>
    <row r="725">
      <c r="C725" s="107"/>
      <c r="F725" s="107"/>
      <c r="H725" s="49"/>
    </row>
    <row r="726">
      <c r="C726" s="107"/>
      <c r="F726" s="107"/>
      <c r="H726" s="49"/>
    </row>
    <row r="727">
      <c r="C727" s="107"/>
      <c r="F727" s="107"/>
      <c r="H727" s="49"/>
    </row>
    <row r="728">
      <c r="C728" s="107"/>
      <c r="F728" s="107"/>
      <c r="H728" s="49"/>
    </row>
    <row r="729">
      <c r="C729" s="107"/>
      <c r="F729" s="107"/>
      <c r="H729" s="49"/>
    </row>
    <row r="730">
      <c r="C730" s="107"/>
      <c r="F730" s="107"/>
      <c r="H730" s="49"/>
    </row>
    <row r="731">
      <c r="C731" s="107"/>
      <c r="F731" s="107"/>
      <c r="H731" s="49"/>
    </row>
    <row r="732">
      <c r="C732" s="107"/>
      <c r="F732" s="107"/>
      <c r="H732" s="49"/>
    </row>
    <row r="733">
      <c r="C733" s="107"/>
      <c r="F733" s="107"/>
      <c r="H733" s="49"/>
    </row>
    <row r="734">
      <c r="C734" s="107"/>
      <c r="F734" s="107"/>
      <c r="H734" s="49"/>
    </row>
    <row r="735">
      <c r="C735" s="107"/>
      <c r="F735" s="107"/>
      <c r="H735" s="49"/>
    </row>
    <row r="736">
      <c r="C736" s="107"/>
      <c r="F736" s="107"/>
      <c r="H736" s="49"/>
    </row>
    <row r="737">
      <c r="C737" s="107"/>
      <c r="F737" s="107"/>
      <c r="H737" s="49"/>
    </row>
    <row r="738">
      <c r="C738" s="107"/>
      <c r="F738" s="107"/>
      <c r="H738" s="49"/>
    </row>
    <row r="739">
      <c r="C739" s="107"/>
      <c r="F739" s="107"/>
      <c r="H739" s="49"/>
    </row>
    <row r="740">
      <c r="C740" s="107"/>
      <c r="F740" s="107"/>
      <c r="H740" s="49"/>
    </row>
    <row r="741">
      <c r="C741" s="107"/>
      <c r="F741" s="107"/>
      <c r="H741" s="49"/>
    </row>
    <row r="742">
      <c r="C742" s="107"/>
      <c r="F742" s="107"/>
      <c r="H742" s="49"/>
    </row>
    <row r="743">
      <c r="C743" s="107"/>
      <c r="F743" s="107"/>
      <c r="H743" s="49"/>
    </row>
    <row r="744">
      <c r="C744" s="107"/>
      <c r="F744" s="107"/>
      <c r="H744" s="49"/>
    </row>
    <row r="745">
      <c r="C745" s="107"/>
      <c r="F745" s="107"/>
      <c r="H745" s="49"/>
    </row>
    <row r="746">
      <c r="C746" s="107"/>
      <c r="F746" s="107"/>
      <c r="H746" s="49"/>
    </row>
    <row r="747">
      <c r="C747" s="107"/>
      <c r="F747" s="107"/>
      <c r="H747" s="49"/>
    </row>
    <row r="748">
      <c r="C748" s="107"/>
      <c r="F748" s="107"/>
      <c r="H748" s="49"/>
    </row>
    <row r="749">
      <c r="C749" s="107"/>
      <c r="F749" s="107"/>
      <c r="H749" s="49"/>
    </row>
    <row r="750">
      <c r="C750" s="107"/>
      <c r="F750" s="107"/>
      <c r="H750" s="49"/>
    </row>
    <row r="751">
      <c r="C751" s="107"/>
      <c r="F751" s="107"/>
      <c r="H751" s="49"/>
    </row>
    <row r="752">
      <c r="C752" s="107"/>
      <c r="F752" s="107"/>
      <c r="H752" s="49"/>
    </row>
    <row r="753">
      <c r="C753" s="107"/>
      <c r="F753" s="107"/>
      <c r="H753" s="49"/>
    </row>
    <row r="754">
      <c r="C754" s="107"/>
      <c r="F754" s="107"/>
      <c r="H754" s="49"/>
    </row>
    <row r="755">
      <c r="C755" s="107"/>
      <c r="F755" s="107"/>
      <c r="H755" s="49"/>
    </row>
    <row r="756">
      <c r="C756" s="107"/>
      <c r="F756" s="107"/>
      <c r="H756" s="49"/>
    </row>
    <row r="757">
      <c r="C757" s="107"/>
      <c r="F757" s="107"/>
      <c r="H757" s="49"/>
    </row>
    <row r="758">
      <c r="C758" s="107"/>
      <c r="F758" s="107"/>
      <c r="H758" s="49"/>
    </row>
    <row r="759">
      <c r="C759" s="107"/>
      <c r="F759" s="107"/>
      <c r="H759" s="49"/>
    </row>
    <row r="760">
      <c r="C760" s="107"/>
      <c r="F760" s="107"/>
      <c r="H760" s="49"/>
    </row>
    <row r="761">
      <c r="C761" s="107"/>
      <c r="F761" s="107"/>
      <c r="H761" s="49"/>
    </row>
    <row r="762">
      <c r="C762" s="107"/>
      <c r="F762" s="107"/>
      <c r="H762" s="49"/>
    </row>
    <row r="763">
      <c r="C763" s="107"/>
      <c r="F763" s="107"/>
      <c r="H763" s="49"/>
    </row>
    <row r="764">
      <c r="C764" s="107"/>
      <c r="F764" s="107"/>
      <c r="H764" s="49"/>
    </row>
    <row r="765">
      <c r="C765" s="107"/>
      <c r="F765" s="107"/>
      <c r="H765" s="49"/>
    </row>
    <row r="766">
      <c r="C766" s="107"/>
      <c r="F766" s="107"/>
      <c r="H766" s="49"/>
    </row>
    <row r="767">
      <c r="C767" s="107"/>
      <c r="F767" s="107"/>
      <c r="H767" s="49"/>
    </row>
    <row r="768">
      <c r="C768" s="107"/>
      <c r="F768" s="107"/>
      <c r="H768" s="49"/>
    </row>
    <row r="769">
      <c r="C769" s="107"/>
      <c r="F769" s="107"/>
      <c r="H769" s="49"/>
    </row>
    <row r="770">
      <c r="C770" s="107"/>
      <c r="F770" s="107"/>
      <c r="H770" s="49"/>
    </row>
    <row r="771">
      <c r="C771" s="107"/>
      <c r="F771" s="107"/>
      <c r="H771" s="49"/>
    </row>
    <row r="772">
      <c r="C772" s="107"/>
      <c r="F772" s="107"/>
      <c r="H772" s="49"/>
    </row>
    <row r="773">
      <c r="C773" s="107"/>
      <c r="F773" s="107"/>
      <c r="H773" s="49"/>
    </row>
    <row r="774">
      <c r="C774" s="107"/>
      <c r="F774" s="107"/>
      <c r="H774" s="49"/>
    </row>
    <row r="775">
      <c r="C775" s="107"/>
      <c r="F775" s="107"/>
      <c r="H775" s="49"/>
    </row>
    <row r="776">
      <c r="C776" s="107"/>
      <c r="F776" s="107"/>
      <c r="H776" s="49"/>
    </row>
    <row r="777">
      <c r="C777" s="107"/>
      <c r="F777" s="107"/>
      <c r="H777" s="49"/>
    </row>
    <row r="778">
      <c r="C778" s="107"/>
      <c r="F778" s="107"/>
      <c r="H778" s="49"/>
    </row>
    <row r="779">
      <c r="C779" s="107"/>
      <c r="F779" s="107"/>
      <c r="H779" s="49"/>
    </row>
    <row r="780">
      <c r="C780" s="107"/>
      <c r="F780" s="107"/>
      <c r="H780" s="49"/>
    </row>
    <row r="781">
      <c r="C781" s="107"/>
      <c r="F781" s="107"/>
      <c r="H781" s="49"/>
    </row>
    <row r="782">
      <c r="C782" s="107"/>
      <c r="F782" s="107"/>
      <c r="H782" s="49"/>
    </row>
    <row r="783">
      <c r="C783" s="107"/>
      <c r="F783" s="107"/>
      <c r="H783" s="49"/>
    </row>
    <row r="784">
      <c r="C784" s="107"/>
      <c r="F784" s="107"/>
      <c r="H784" s="49"/>
    </row>
    <row r="785">
      <c r="C785" s="107"/>
      <c r="F785" s="107"/>
      <c r="H785" s="49"/>
    </row>
    <row r="786">
      <c r="C786" s="107"/>
      <c r="F786" s="107"/>
      <c r="H786" s="49"/>
    </row>
    <row r="787">
      <c r="C787" s="107"/>
      <c r="F787" s="107"/>
      <c r="H787" s="49"/>
    </row>
    <row r="788">
      <c r="C788" s="107"/>
      <c r="F788" s="107"/>
      <c r="H788" s="49"/>
    </row>
    <row r="789">
      <c r="C789" s="107"/>
      <c r="F789" s="107"/>
      <c r="H789" s="49"/>
    </row>
    <row r="790">
      <c r="C790" s="107"/>
      <c r="F790" s="107"/>
      <c r="H790" s="49"/>
    </row>
    <row r="791">
      <c r="C791" s="107"/>
      <c r="F791" s="107"/>
      <c r="H791" s="49"/>
    </row>
    <row r="792">
      <c r="C792" s="107"/>
      <c r="F792" s="107"/>
      <c r="H792" s="49"/>
    </row>
    <row r="793">
      <c r="C793" s="107"/>
      <c r="F793" s="107"/>
      <c r="H793" s="49"/>
    </row>
    <row r="794">
      <c r="C794" s="107"/>
      <c r="F794" s="107"/>
      <c r="H794" s="49"/>
    </row>
    <row r="795">
      <c r="C795" s="107"/>
      <c r="F795" s="107"/>
      <c r="H795" s="49"/>
    </row>
    <row r="796">
      <c r="C796" s="107"/>
      <c r="F796" s="107"/>
      <c r="H796" s="49"/>
    </row>
    <row r="797">
      <c r="C797" s="107"/>
      <c r="F797" s="107"/>
      <c r="H797" s="49"/>
    </row>
    <row r="798">
      <c r="C798" s="107"/>
      <c r="F798" s="107"/>
      <c r="H798" s="49"/>
    </row>
    <row r="799">
      <c r="C799" s="107"/>
      <c r="F799" s="107"/>
      <c r="H799" s="49"/>
    </row>
    <row r="800">
      <c r="C800" s="107"/>
      <c r="F800" s="107"/>
      <c r="H800" s="49"/>
    </row>
    <row r="801">
      <c r="C801" s="107"/>
      <c r="F801" s="107"/>
      <c r="H801" s="49"/>
    </row>
    <row r="802">
      <c r="C802" s="107"/>
      <c r="F802" s="107"/>
      <c r="H802" s="49"/>
    </row>
    <row r="803">
      <c r="C803" s="107"/>
      <c r="F803" s="107"/>
      <c r="H803" s="49"/>
    </row>
    <row r="804">
      <c r="C804" s="107"/>
      <c r="F804" s="107"/>
      <c r="H804" s="49"/>
    </row>
    <row r="805">
      <c r="C805" s="107"/>
      <c r="F805" s="107"/>
      <c r="H805" s="49"/>
    </row>
    <row r="806">
      <c r="C806" s="107"/>
      <c r="F806" s="107"/>
      <c r="H806" s="49"/>
    </row>
    <row r="807">
      <c r="C807" s="107"/>
      <c r="F807" s="107"/>
      <c r="H807" s="49"/>
    </row>
    <row r="808">
      <c r="C808" s="107"/>
      <c r="F808" s="107"/>
      <c r="H808" s="49"/>
    </row>
    <row r="809">
      <c r="C809" s="107"/>
      <c r="F809" s="107"/>
      <c r="H809" s="49"/>
    </row>
    <row r="810">
      <c r="C810" s="107"/>
      <c r="F810" s="107"/>
      <c r="H810" s="49"/>
    </row>
    <row r="811">
      <c r="C811" s="107"/>
      <c r="F811" s="107"/>
      <c r="H811" s="49"/>
    </row>
    <row r="812">
      <c r="C812" s="107"/>
      <c r="F812" s="107"/>
      <c r="H812" s="49"/>
    </row>
    <row r="813">
      <c r="C813" s="107"/>
      <c r="F813" s="107"/>
      <c r="H813" s="49"/>
    </row>
    <row r="814">
      <c r="C814" s="107"/>
      <c r="F814" s="107"/>
      <c r="H814" s="49"/>
    </row>
    <row r="815">
      <c r="C815" s="107"/>
      <c r="F815" s="107"/>
      <c r="H815" s="49"/>
    </row>
    <row r="816">
      <c r="C816" s="107"/>
      <c r="F816" s="107"/>
      <c r="H816" s="49"/>
    </row>
    <row r="817">
      <c r="C817" s="107"/>
      <c r="F817" s="107"/>
      <c r="H817" s="49"/>
    </row>
    <row r="818">
      <c r="C818" s="107"/>
      <c r="F818" s="107"/>
      <c r="H818" s="49"/>
    </row>
    <row r="819">
      <c r="C819" s="107"/>
      <c r="F819" s="107"/>
      <c r="H819" s="49"/>
    </row>
    <row r="820">
      <c r="C820" s="107"/>
      <c r="F820" s="107"/>
      <c r="H820" s="49"/>
    </row>
    <row r="821">
      <c r="C821" s="107"/>
      <c r="F821" s="107"/>
      <c r="H821" s="49"/>
    </row>
    <row r="822">
      <c r="C822" s="107"/>
      <c r="F822" s="107"/>
      <c r="H822" s="49"/>
    </row>
    <row r="823">
      <c r="C823" s="107"/>
      <c r="F823" s="107"/>
      <c r="H823" s="49"/>
    </row>
    <row r="824">
      <c r="C824" s="107"/>
      <c r="F824" s="107"/>
      <c r="H824" s="49"/>
    </row>
    <row r="825">
      <c r="C825" s="107"/>
      <c r="F825" s="107"/>
      <c r="H825" s="49"/>
    </row>
    <row r="826">
      <c r="C826" s="107"/>
      <c r="F826" s="107"/>
      <c r="H826" s="49"/>
    </row>
    <row r="827">
      <c r="C827" s="107"/>
      <c r="F827" s="107"/>
      <c r="H827" s="49"/>
    </row>
    <row r="828">
      <c r="C828" s="107"/>
      <c r="F828" s="107"/>
      <c r="H828" s="49"/>
    </row>
    <row r="829">
      <c r="C829" s="107"/>
      <c r="F829" s="107"/>
      <c r="H829" s="49"/>
    </row>
    <row r="830">
      <c r="C830" s="107"/>
      <c r="F830" s="107"/>
      <c r="H830" s="49"/>
    </row>
    <row r="831">
      <c r="C831" s="107"/>
      <c r="F831" s="107"/>
      <c r="H831" s="49"/>
    </row>
    <row r="832">
      <c r="C832" s="107"/>
      <c r="F832" s="107"/>
      <c r="H832" s="49"/>
    </row>
    <row r="833">
      <c r="C833" s="107"/>
      <c r="F833" s="107"/>
      <c r="H833" s="49"/>
    </row>
    <row r="834">
      <c r="C834" s="107"/>
      <c r="F834" s="107"/>
      <c r="H834" s="49"/>
    </row>
    <row r="835">
      <c r="C835" s="107"/>
      <c r="F835" s="107"/>
      <c r="H835" s="49"/>
    </row>
    <row r="836">
      <c r="C836" s="107"/>
      <c r="F836" s="107"/>
      <c r="H836" s="49"/>
    </row>
    <row r="837">
      <c r="C837" s="107"/>
      <c r="F837" s="107"/>
      <c r="H837" s="49"/>
    </row>
    <row r="838">
      <c r="C838" s="107"/>
      <c r="F838" s="107"/>
      <c r="H838" s="49"/>
    </row>
    <row r="839">
      <c r="C839" s="107"/>
      <c r="F839" s="107"/>
      <c r="H839" s="49"/>
    </row>
    <row r="840">
      <c r="C840" s="107"/>
      <c r="F840" s="107"/>
      <c r="H840" s="49"/>
    </row>
    <row r="841">
      <c r="C841" s="107"/>
      <c r="F841" s="107"/>
      <c r="H841" s="49"/>
    </row>
    <row r="842">
      <c r="C842" s="107"/>
      <c r="F842" s="107"/>
      <c r="H842" s="49"/>
    </row>
    <row r="843">
      <c r="C843" s="107"/>
      <c r="F843" s="107"/>
      <c r="H843" s="49"/>
    </row>
    <row r="844">
      <c r="C844" s="107"/>
      <c r="F844" s="107"/>
      <c r="H844" s="49"/>
    </row>
    <row r="845">
      <c r="C845" s="107"/>
      <c r="F845" s="107"/>
      <c r="H845" s="49"/>
    </row>
    <row r="846">
      <c r="C846" s="107"/>
      <c r="F846" s="107"/>
      <c r="H846" s="49"/>
    </row>
    <row r="847">
      <c r="C847" s="107"/>
      <c r="F847" s="107"/>
      <c r="H847" s="49"/>
    </row>
    <row r="848">
      <c r="C848" s="107"/>
      <c r="F848" s="107"/>
      <c r="H848" s="49"/>
    </row>
    <row r="849">
      <c r="C849" s="107"/>
      <c r="F849" s="107"/>
      <c r="H849" s="49"/>
    </row>
    <row r="850">
      <c r="C850" s="107"/>
      <c r="F850" s="107"/>
      <c r="H850" s="49"/>
    </row>
    <row r="851">
      <c r="C851" s="107"/>
      <c r="F851" s="107"/>
      <c r="H851" s="49"/>
    </row>
    <row r="852">
      <c r="C852" s="107"/>
      <c r="F852" s="107"/>
      <c r="H852" s="49"/>
    </row>
    <row r="853">
      <c r="C853" s="107"/>
      <c r="F853" s="107"/>
      <c r="H853" s="49"/>
    </row>
    <row r="854">
      <c r="C854" s="107"/>
      <c r="F854" s="107"/>
      <c r="H854" s="49"/>
    </row>
    <row r="855">
      <c r="C855" s="107"/>
      <c r="F855" s="107"/>
      <c r="H855" s="49"/>
    </row>
    <row r="856">
      <c r="C856" s="107"/>
      <c r="F856" s="107"/>
      <c r="H856" s="49"/>
    </row>
    <row r="857">
      <c r="C857" s="107"/>
      <c r="F857" s="107"/>
      <c r="H857" s="49"/>
    </row>
    <row r="858">
      <c r="C858" s="107"/>
      <c r="F858" s="107"/>
      <c r="H858" s="49"/>
    </row>
    <row r="859">
      <c r="C859" s="107"/>
      <c r="F859" s="107"/>
      <c r="H859" s="49"/>
    </row>
    <row r="860">
      <c r="C860" s="107"/>
      <c r="F860" s="107"/>
      <c r="H860" s="49"/>
    </row>
    <row r="861">
      <c r="C861" s="107"/>
      <c r="F861" s="107"/>
      <c r="H861" s="49"/>
    </row>
    <row r="862">
      <c r="C862" s="107"/>
      <c r="F862" s="107"/>
      <c r="H862" s="49"/>
    </row>
    <row r="863">
      <c r="C863" s="107"/>
      <c r="F863" s="107"/>
      <c r="H863" s="49"/>
    </row>
    <row r="864">
      <c r="C864" s="107"/>
      <c r="F864" s="107"/>
      <c r="H864" s="49"/>
    </row>
    <row r="865">
      <c r="C865" s="107"/>
      <c r="F865" s="107"/>
      <c r="H865" s="49"/>
    </row>
    <row r="866">
      <c r="C866" s="107"/>
      <c r="F866" s="107"/>
      <c r="H866" s="49"/>
    </row>
    <row r="867">
      <c r="C867" s="107"/>
      <c r="F867" s="107"/>
      <c r="H867" s="49"/>
    </row>
    <row r="868">
      <c r="C868" s="107"/>
      <c r="F868" s="107"/>
      <c r="H868" s="49"/>
    </row>
    <row r="869">
      <c r="C869" s="107"/>
      <c r="F869" s="107"/>
      <c r="H869" s="49"/>
    </row>
    <row r="870">
      <c r="C870" s="107"/>
      <c r="F870" s="107"/>
      <c r="H870" s="49"/>
    </row>
    <row r="871">
      <c r="C871" s="107"/>
      <c r="F871" s="107"/>
      <c r="H871" s="49"/>
    </row>
    <row r="872">
      <c r="C872" s="107"/>
      <c r="F872" s="107"/>
      <c r="H872" s="49"/>
    </row>
    <row r="873">
      <c r="C873" s="107"/>
      <c r="F873" s="107"/>
      <c r="H873" s="49"/>
    </row>
    <row r="874">
      <c r="C874" s="107"/>
      <c r="F874" s="107"/>
      <c r="H874" s="49"/>
    </row>
    <row r="875">
      <c r="C875" s="107"/>
      <c r="F875" s="107"/>
      <c r="H875" s="49"/>
    </row>
    <row r="876">
      <c r="C876" s="107"/>
      <c r="F876" s="107"/>
      <c r="H876" s="49"/>
    </row>
    <row r="877">
      <c r="C877" s="107"/>
      <c r="F877" s="107"/>
      <c r="H877" s="49"/>
    </row>
    <row r="878">
      <c r="C878" s="107"/>
      <c r="F878" s="107"/>
      <c r="H878" s="49"/>
    </row>
    <row r="879">
      <c r="C879" s="107"/>
      <c r="F879" s="107"/>
      <c r="H879" s="49"/>
    </row>
    <row r="880">
      <c r="C880" s="107"/>
      <c r="F880" s="107"/>
      <c r="H880" s="49"/>
    </row>
    <row r="881">
      <c r="C881" s="107"/>
      <c r="F881" s="107"/>
      <c r="H881" s="49"/>
    </row>
    <row r="882">
      <c r="C882" s="107"/>
      <c r="F882" s="107"/>
      <c r="H882" s="49"/>
    </row>
    <row r="883">
      <c r="C883" s="107"/>
      <c r="F883" s="107"/>
      <c r="H883" s="49"/>
    </row>
    <row r="884">
      <c r="C884" s="107"/>
      <c r="F884" s="107"/>
      <c r="H884" s="49"/>
    </row>
    <row r="885">
      <c r="C885" s="107"/>
      <c r="F885" s="107"/>
      <c r="H885" s="49"/>
    </row>
    <row r="886">
      <c r="C886" s="107"/>
      <c r="F886" s="107"/>
      <c r="H886" s="49"/>
    </row>
    <row r="887">
      <c r="C887" s="107"/>
      <c r="F887" s="107"/>
      <c r="H887" s="49"/>
    </row>
    <row r="888">
      <c r="C888" s="107"/>
      <c r="F888" s="107"/>
      <c r="H888" s="49"/>
    </row>
    <row r="889">
      <c r="C889" s="107"/>
      <c r="F889" s="107"/>
      <c r="H889" s="49"/>
    </row>
    <row r="890">
      <c r="C890" s="107"/>
      <c r="F890" s="107"/>
      <c r="H890" s="49"/>
    </row>
    <row r="891">
      <c r="C891" s="107"/>
      <c r="F891" s="107"/>
      <c r="H891" s="49"/>
    </row>
    <row r="892">
      <c r="C892" s="107"/>
      <c r="F892" s="107"/>
      <c r="H892" s="49"/>
    </row>
    <row r="893">
      <c r="C893" s="107"/>
      <c r="F893" s="107"/>
      <c r="H893" s="49"/>
    </row>
    <row r="894">
      <c r="C894" s="107"/>
      <c r="F894" s="107"/>
      <c r="H894" s="49"/>
    </row>
    <row r="895">
      <c r="C895" s="107"/>
      <c r="F895" s="107"/>
      <c r="H895" s="49"/>
    </row>
    <row r="896">
      <c r="C896" s="107"/>
      <c r="F896" s="107"/>
      <c r="H896" s="49"/>
    </row>
    <row r="897">
      <c r="C897" s="107"/>
      <c r="F897" s="107"/>
      <c r="H897" s="49"/>
    </row>
    <row r="898">
      <c r="C898" s="107"/>
      <c r="F898" s="107"/>
      <c r="H898" s="49"/>
    </row>
    <row r="899">
      <c r="C899" s="107"/>
      <c r="F899" s="107"/>
      <c r="H899" s="49"/>
    </row>
    <row r="900">
      <c r="C900" s="107"/>
      <c r="F900" s="107"/>
      <c r="H900" s="49"/>
    </row>
    <row r="901">
      <c r="C901" s="107"/>
      <c r="F901" s="107"/>
      <c r="H901" s="49"/>
    </row>
    <row r="902">
      <c r="C902" s="107"/>
      <c r="F902" s="107"/>
      <c r="H902" s="49"/>
    </row>
    <row r="903">
      <c r="C903" s="107"/>
      <c r="F903" s="107"/>
      <c r="H903" s="49"/>
    </row>
    <row r="904">
      <c r="C904" s="107"/>
      <c r="F904" s="107"/>
      <c r="H904" s="49"/>
    </row>
    <row r="905">
      <c r="C905" s="107"/>
      <c r="F905" s="107"/>
      <c r="H905" s="49"/>
    </row>
    <row r="906">
      <c r="C906" s="107"/>
      <c r="F906" s="107"/>
      <c r="H906" s="49"/>
    </row>
    <row r="907">
      <c r="C907" s="107"/>
      <c r="F907" s="107"/>
      <c r="H907" s="49"/>
    </row>
    <row r="908">
      <c r="C908" s="107"/>
      <c r="F908" s="107"/>
      <c r="H908" s="49"/>
    </row>
    <row r="909">
      <c r="C909" s="107"/>
      <c r="F909" s="107"/>
      <c r="H909" s="49"/>
    </row>
    <row r="910">
      <c r="C910" s="107"/>
      <c r="F910" s="107"/>
      <c r="H910" s="49"/>
    </row>
    <row r="911">
      <c r="C911" s="107"/>
      <c r="F911" s="107"/>
      <c r="H911" s="49"/>
    </row>
    <row r="912">
      <c r="C912" s="107"/>
      <c r="F912" s="107"/>
      <c r="H912" s="49"/>
    </row>
    <row r="913">
      <c r="C913" s="107"/>
      <c r="F913" s="107"/>
      <c r="H913" s="49"/>
    </row>
    <row r="914">
      <c r="C914" s="107"/>
      <c r="F914" s="107"/>
      <c r="H914" s="49"/>
    </row>
    <row r="915">
      <c r="C915" s="107"/>
      <c r="F915" s="107"/>
      <c r="H915" s="49"/>
    </row>
    <row r="916">
      <c r="C916" s="107"/>
      <c r="F916" s="107"/>
      <c r="H916" s="49"/>
    </row>
    <row r="917">
      <c r="C917" s="107"/>
      <c r="F917" s="107"/>
      <c r="H917" s="49"/>
    </row>
    <row r="918">
      <c r="C918" s="107"/>
      <c r="F918" s="107"/>
      <c r="H918" s="49"/>
    </row>
    <row r="919">
      <c r="C919" s="107"/>
      <c r="F919" s="107"/>
      <c r="H919" s="49"/>
    </row>
    <row r="920">
      <c r="C920" s="107"/>
      <c r="F920" s="107"/>
      <c r="H920" s="49"/>
    </row>
    <row r="921">
      <c r="C921" s="107"/>
      <c r="F921" s="107"/>
      <c r="H921" s="49"/>
    </row>
    <row r="922">
      <c r="C922" s="107"/>
      <c r="F922" s="107"/>
      <c r="H922" s="49"/>
    </row>
    <row r="923">
      <c r="C923" s="107"/>
      <c r="F923" s="107"/>
      <c r="H923" s="49"/>
    </row>
    <row r="924">
      <c r="C924" s="107"/>
      <c r="F924" s="107"/>
      <c r="H924" s="49"/>
    </row>
    <row r="925">
      <c r="C925" s="107"/>
      <c r="F925" s="107"/>
      <c r="H925" s="49"/>
    </row>
    <row r="926">
      <c r="C926" s="107"/>
      <c r="F926" s="107"/>
      <c r="H926" s="49"/>
    </row>
    <row r="927">
      <c r="C927" s="107"/>
      <c r="F927" s="107"/>
      <c r="H927" s="49"/>
    </row>
    <row r="928">
      <c r="C928" s="107"/>
      <c r="F928" s="107"/>
      <c r="H928" s="49"/>
    </row>
    <row r="929">
      <c r="C929" s="107"/>
      <c r="F929" s="107"/>
      <c r="H929" s="49"/>
    </row>
    <row r="930">
      <c r="C930" s="107"/>
      <c r="F930" s="107"/>
      <c r="H930" s="49"/>
    </row>
    <row r="931">
      <c r="C931" s="107"/>
      <c r="F931" s="107"/>
      <c r="H931" s="49"/>
    </row>
    <row r="932">
      <c r="C932" s="107"/>
      <c r="F932" s="107"/>
      <c r="H932" s="49"/>
    </row>
    <row r="933">
      <c r="C933" s="107"/>
      <c r="F933" s="107"/>
      <c r="H933" s="49"/>
    </row>
    <row r="934">
      <c r="C934" s="107"/>
      <c r="F934" s="107"/>
      <c r="H934" s="49"/>
    </row>
    <row r="935">
      <c r="C935" s="107"/>
      <c r="F935" s="107"/>
      <c r="H935" s="49"/>
    </row>
    <row r="936">
      <c r="C936" s="107"/>
      <c r="F936" s="107"/>
      <c r="H936" s="49"/>
    </row>
    <row r="937">
      <c r="C937" s="107"/>
      <c r="F937" s="107"/>
      <c r="H937" s="49"/>
    </row>
    <row r="938">
      <c r="C938" s="107"/>
      <c r="F938" s="107"/>
      <c r="H938" s="49"/>
    </row>
    <row r="939">
      <c r="C939" s="107"/>
      <c r="F939" s="107"/>
      <c r="H939" s="49"/>
    </row>
    <row r="940">
      <c r="C940" s="107"/>
      <c r="F940" s="107"/>
      <c r="H940" s="49"/>
    </row>
    <row r="941">
      <c r="C941" s="107"/>
      <c r="F941" s="107"/>
      <c r="H941" s="49"/>
    </row>
    <row r="942">
      <c r="C942" s="107"/>
      <c r="F942" s="107"/>
      <c r="H942" s="49"/>
    </row>
    <row r="943">
      <c r="C943" s="107"/>
      <c r="F943" s="107"/>
      <c r="H943" s="49"/>
    </row>
    <row r="944">
      <c r="C944" s="107"/>
      <c r="F944" s="107"/>
      <c r="H944" s="49"/>
    </row>
    <row r="945">
      <c r="C945" s="107"/>
      <c r="F945" s="107"/>
      <c r="H945" s="49"/>
    </row>
    <row r="946">
      <c r="C946" s="107"/>
      <c r="F946" s="107"/>
      <c r="H946" s="49"/>
    </row>
    <row r="947">
      <c r="C947" s="107"/>
      <c r="F947" s="107"/>
      <c r="H947" s="49"/>
    </row>
    <row r="948">
      <c r="C948" s="107"/>
      <c r="F948" s="107"/>
      <c r="H948" s="49"/>
    </row>
    <row r="949">
      <c r="C949" s="107"/>
      <c r="F949" s="107"/>
      <c r="H949" s="49"/>
    </row>
    <row r="950">
      <c r="C950" s="107"/>
      <c r="F950" s="107"/>
      <c r="H950" s="49"/>
    </row>
    <row r="951">
      <c r="C951" s="107"/>
      <c r="F951" s="107"/>
      <c r="H951" s="49"/>
    </row>
    <row r="952">
      <c r="C952" s="107"/>
      <c r="F952" s="107"/>
      <c r="H952" s="49"/>
    </row>
    <row r="953">
      <c r="C953" s="107"/>
      <c r="F953" s="107"/>
      <c r="H953" s="49"/>
    </row>
    <row r="954">
      <c r="C954" s="107"/>
      <c r="F954" s="107"/>
      <c r="H954" s="49"/>
    </row>
    <row r="955">
      <c r="C955" s="107"/>
      <c r="F955" s="107"/>
      <c r="H955" s="49"/>
    </row>
    <row r="956">
      <c r="C956" s="107"/>
      <c r="F956" s="107"/>
      <c r="H956" s="49"/>
    </row>
    <row r="957">
      <c r="C957" s="107"/>
      <c r="F957" s="107"/>
      <c r="H957" s="49"/>
    </row>
    <row r="958">
      <c r="C958" s="107"/>
      <c r="F958" s="107"/>
      <c r="H958" s="49"/>
    </row>
    <row r="959">
      <c r="C959" s="107"/>
      <c r="F959" s="107"/>
      <c r="H959" s="49"/>
    </row>
    <row r="960">
      <c r="C960" s="107"/>
      <c r="F960" s="107"/>
      <c r="H960" s="49"/>
    </row>
    <row r="961">
      <c r="C961" s="107"/>
      <c r="F961" s="107"/>
      <c r="H961" s="49"/>
    </row>
    <row r="962">
      <c r="C962" s="107"/>
      <c r="F962" s="107"/>
      <c r="H962" s="49"/>
    </row>
    <row r="963">
      <c r="C963" s="107"/>
      <c r="F963" s="107"/>
      <c r="H963" s="49"/>
    </row>
    <row r="964">
      <c r="C964" s="107"/>
      <c r="F964" s="107"/>
      <c r="H964" s="49"/>
    </row>
    <row r="965">
      <c r="C965" s="107"/>
      <c r="F965" s="107"/>
      <c r="H965" s="49"/>
    </row>
    <row r="966">
      <c r="C966" s="107"/>
      <c r="F966" s="107"/>
      <c r="H966" s="49"/>
    </row>
    <row r="967">
      <c r="C967" s="107"/>
      <c r="F967" s="107"/>
      <c r="H967" s="49"/>
    </row>
    <row r="968">
      <c r="C968" s="107"/>
      <c r="F968" s="107"/>
      <c r="H968" s="49"/>
    </row>
    <row r="969">
      <c r="C969" s="107"/>
      <c r="F969" s="107"/>
      <c r="H969" s="49"/>
    </row>
    <row r="970">
      <c r="C970" s="107"/>
      <c r="F970" s="107"/>
      <c r="H970" s="49"/>
    </row>
    <row r="971">
      <c r="C971" s="107"/>
      <c r="F971" s="107"/>
      <c r="H971" s="49"/>
    </row>
    <row r="972">
      <c r="C972" s="107"/>
      <c r="F972" s="107"/>
      <c r="H972" s="49"/>
    </row>
    <row r="973">
      <c r="C973" s="107"/>
      <c r="F973" s="107"/>
      <c r="H973" s="49"/>
    </row>
    <row r="974">
      <c r="C974" s="107"/>
      <c r="F974" s="107"/>
      <c r="H974" s="49"/>
    </row>
    <row r="975">
      <c r="C975" s="107"/>
      <c r="F975" s="107"/>
      <c r="H975" s="49"/>
    </row>
    <row r="976">
      <c r="C976" s="107"/>
      <c r="F976" s="107"/>
      <c r="H976" s="49"/>
    </row>
    <row r="977">
      <c r="C977" s="107"/>
      <c r="F977" s="107"/>
      <c r="H977" s="49"/>
    </row>
    <row r="978">
      <c r="C978" s="107"/>
      <c r="F978" s="107"/>
      <c r="H978" s="49"/>
    </row>
    <row r="979">
      <c r="C979" s="107"/>
      <c r="F979" s="107"/>
      <c r="H979" s="49"/>
    </row>
    <row r="980">
      <c r="C980" s="107"/>
      <c r="F980" s="107"/>
      <c r="H980" s="49"/>
    </row>
    <row r="981">
      <c r="C981" s="107"/>
      <c r="F981" s="107"/>
      <c r="H981" s="49"/>
    </row>
    <row r="982">
      <c r="C982" s="107"/>
      <c r="F982" s="107"/>
      <c r="H982" s="49"/>
    </row>
    <row r="983">
      <c r="C983" s="107"/>
      <c r="F983" s="107"/>
      <c r="H983" s="49"/>
    </row>
    <row r="984">
      <c r="C984" s="107"/>
      <c r="F984" s="107"/>
      <c r="H984" s="49"/>
    </row>
    <row r="985">
      <c r="C985" s="107"/>
      <c r="F985" s="107"/>
      <c r="H985" s="49"/>
    </row>
    <row r="986">
      <c r="C986" s="107"/>
      <c r="F986" s="107"/>
      <c r="H986" s="49"/>
    </row>
    <row r="987">
      <c r="C987" s="107"/>
      <c r="F987" s="107"/>
      <c r="H987" s="49"/>
    </row>
    <row r="988">
      <c r="C988" s="107"/>
      <c r="F988" s="107"/>
      <c r="H988" s="49"/>
    </row>
    <row r="989">
      <c r="C989" s="107"/>
      <c r="F989" s="107"/>
      <c r="H989" s="49"/>
    </row>
    <row r="990">
      <c r="C990" s="107"/>
      <c r="F990" s="107"/>
      <c r="H990" s="49"/>
    </row>
    <row r="991">
      <c r="C991" s="107"/>
      <c r="F991" s="107"/>
      <c r="H991" s="49"/>
    </row>
    <row r="992">
      <c r="C992" s="107"/>
      <c r="F992" s="107"/>
      <c r="H992" s="49"/>
    </row>
    <row r="993">
      <c r="C993" s="107"/>
      <c r="F993" s="107"/>
      <c r="H993" s="49"/>
    </row>
    <row r="994">
      <c r="C994" s="107"/>
      <c r="F994" s="107"/>
      <c r="H994" s="49"/>
    </row>
    <row r="995">
      <c r="C995" s="107"/>
      <c r="F995" s="107"/>
      <c r="H995" s="49"/>
    </row>
    <row r="996">
      <c r="C996" s="107"/>
      <c r="F996" s="107"/>
      <c r="H996" s="49"/>
    </row>
    <row r="997">
      <c r="C997" s="107"/>
      <c r="F997" s="107"/>
      <c r="H997" s="49"/>
    </row>
    <row r="998">
      <c r="C998" s="107"/>
      <c r="F998" s="107"/>
      <c r="H998" s="49"/>
    </row>
    <row r="999">
      <c r="C999" s="107"/>
      <c r="F999" s="107"/>
      <c r="H999" s="49"/>
    </row>
    <row r="1000">
      <c r="C1000" s="107"/>
      <c r="F1000" s="107"/>
      <c r="H1000" s="49"/>
    </row>
  </sheetData>
  <conditionalFormatting sqref="F1:G1000 O1 Q1">
    <cfRule type="cellIs" dxfId="7" priority="1" operator="greaterThan">
      <formula>0</formula>
    </cfRule>
  </conditionalFormatting>
  <conditionalFormatting sqref="F1:G1000 O1 Q1">
    <cfRule type="cellIs" dxfId="8" priority="2" operator="lessThan">
      <formula>0</formula>
    </cfRule>
  </conditionalFormatting>
  <dataValidations>
    <dataValidation type="custom" allowBlank="1" showDropDown="1" sqref="C2:C6 F2:I6">
      <formula1>AND(ISNUMBER(C2),(NOT(OR(NOT(ISERROR(DATEVALUE(C2))), AND(ISNUMBER(C2), LEFT(CELL("format", C2))="D")))))</formula1>
    </dataValidation>
    <dataValidation allowBlank="1" showDropDown="1" sqref="A2:A6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13.75"/>
    <col customWidth="1" min="4" max="4" width="13.5"/>
  </cols>
  <sheetData>
    <row r="1" ht="22.5" customHeight="1">
      <c r="A1" s="2" t="s">
        <v>86</v>
      </c>
      <c r="B1" s="1" t="s">
        <v>87</v>
      </c>
      <c r="C1" s="122" t="s">
        <v>88</v>
      </c>
      <c r="D1" s="1" t="s">
        <v>5</v>
      </c>
      <c r="E1" s="2" t="s">
        <v>89</v>
      </c>
      <c r="F1" s="2" t="s">
        <v>90</v>
      </c>
      <c r="G1" s="2" t="s">
        <v>1</v>
      </c>
      <c r="H1" s="5" t="s">
        <v>91</v>
      </c>
      <c r="I1" s="123" t="s">
        <v>92</v>
      </c>
      <c r="J1" s="123" t="s">
        <v>50</v>
      </c>
      <c r="K1" s="73" t="s">
        <v>93</v>
      </c>
      <c r="L1" s="73" t="s">
        <v>45</v>
      </c>
      <c r="M1" s="2" t="s">
        <v>86</v>
      </c>
      <c r="N1" s="2" t="s">
        <v>94</v>
      </c>
      <c r="O1" s="2" t="s">
        <v>95</v>
      </c>
      <c r="P1" s="2" t="s">
        <v>96</v>
      </c>
      <c r="Q1" s="2" t="s">
        <v>97</v>
      </c>
      <c r="T1" s="2" t="s">
        <v>86</v>
      </c>
      <c r="U1" s="2" t="s">
        <v>5</v>
      </c>
      <c r="V1" s="2" t="s">
        <v>98</v>
      </c>
      <c r="W1" s="2" t="s">
        <v>99</v>
      </c>
      <c r="X1" s="2" t="s">
        <v>100</v>
      </c>
      <c r="Y1" s="2" t="s">
        <v>101</v>
      </c>
      <c r="Z1" s="2" t="s">
        <v>102</v>
      </c>
    </row>
    <row r="2" ht="22.5" customHeight="1">
      <c r="A2" s="124">
        <v>45681.09818287037</v>
      </c>
      <c r="B2" s="125" t="s">
        <v>103</v>
      </c>
      <c r="C2" s="125" t="s">
        <v>13</v>
      </c>
      <c r="D2" s="1" t="s">
        <v>55</v>
      </c>
      <c r="E2" s="17">
        <v>1.0</v>
      </c>
      <c r="F2" s="17">
        <v>409.73</v>
      </c>
      <c r="G2" s="13">
        <f t="shared" ref="G2:G24" si="1">IF(C2="富邦", 
    IF(B2="買進", E2*F2*1.0025, 
    IF(B2="賣出", E2*F2*0.9975, E2*F2)), 
    E2*F2)
</f>
        <v>410.754325</v>
      </c>
      <c r="H2" s="68">
        <v>13585.0</v>
      </c>
      <c r="I2" s="37"/>
      <c r="J2" s="37"/>
      <c r="K2" s="126"/>
      <c r="L2" s="127">
        <f>sum(G:G)</f>
        <v>66727.29443</v>
      </c>
      <c r="M2" s="128">
        <v>45700.0</v>
      </c>
      <c r="N2" s="17">
        <f>15218.84-25</f>
        <v>15193.84</v>
      </c>
      <c r="O2" s="17">
        <v>500149.0</v>
      </c>
      <c r="P2" s="17">
        <v>25.0</v>
      </c>
      <c r="Q2" s="11">
        <f t="shared" ref="Q2:Q4" si="2">(O2-150)/N2</f>
        <v>32.90800746</v>
      </c>
      <c r="T2" s="128">
        <v>45734.0</v>
      </c>
      <c r="U2" s="120" t="s">
        <v>104</v>
      </c>
      <c r="V2" s="17">
        <v>1000.0</v>
      </c>
      <c r="W2" s="17">
        <v>0.5</v>
      </c>
      <c r="X2" s="11">
        <f>V2*W2</f>
        <v>500</v>
      </c>
      <c r="Y2" s="17">
        <v>10.0</v>
      </c>
      <c r="Z2" s="11">
        <f>X2-Y2</f>
        <v>490</v>
      </c>
    </row>
    <row r="3" ht="22.5" customHeight="1">
      <c r="A3" s="124">
        <v>45681.099016203705</v>
      </c>
      <c r="B3" s="125" t="s">
        <v>103</v>
      </c>
      <c r="C3" s="125" t="s">
        <v>13</v>
      </c>
      <c r="D3" s="1" t="s">
        <v>61</v>
      </c>
      <c r="E3" s="17">
        <v>1.0</v>
      </c>
      <c r="F3" s="17">
        <v>143.56</v>
      </c>
      <c r="G3" s="13">
        <f t="shared" si="1"/>
        <v>143.9189</v>
      </c>
      <c r="H3" s="68">
        <v>3979.0</v>
      </c>
      <c r="I3" s="37"/>
      <c r="J3" s="37"/>
      <c r="K3" s="126"/>
      <c r="M3" s="128">
        <v>45709.0</v>
      </c>
      <c r="N3" s="17">
        <f>10059.53-25</f>
        <v>10034.53</v>
      </c>
      <c r="O3" s="17">
        <v>329851.0</v>
      </c>
      <c r="P3" s="17">
        <v>25.0</v>
      </c>
      <c r="Q3" s="11">
        <f t="shared" si="2"/>
        <v>32.856646</v>
      </c>
      <c r="U3" s="49"/>
    </row>
    <row r="4" ht="22.5" customHeight="1">
      <c r="A4" s="124">
        <v>45684.061574074076</v>
      </c>
      <c r="B4" s="125" t="s">
        <v>103</v>
      </c>
      <c r="C4" s="125" t="s">
        <v>13</v>
      </c>
      <c r="D4" s="1" t="s">
        <v>61</v>
      </c>
      <c r="E4" s="17">
        <v>3.0</v>
      </c>
      <c r="F4" s="17">
        <v>119.68</v>
      </c>
      <c r="G4" s="13">
        <f t="shared" si="1"/>
        <v>359.9376</v>
      </c>
      <c r="H4" s="62">
        <v>11905.0</v>
      </c>
      <c r="I4" s="37"/>
      <c r="J4" s="37"/>
      <c r="K4" s="126"/>
      <c r="M4" s="128">
        <v>45727.0</v>
      </c>
      <c r="N4" s="17">
        <v>4248.18</v>
      </c>
      <c r="O4" s="17">
        <v>140000.0</v>
      </c>
      <c r="P4" s="17">
        <v>0.0</v>
      </c>
      <c r="Q4" s="11">
        <f t="shared" si="2"/>
        <v>32.91997985</v>
      </c>
      <c r="U4" s="49"/>
    </row>
    <row r="5" ht="22.5" customHeight="1">
      <c r="A5" s="124">
        <v>45685.96435185185</v>
      </c>
      <c r="B5" s="125" t="s">
        <v>103</v>
      </c>
      <c r="C5" s="125" t="s">
        <v>13</v>
      </c>
      <c r="D5" s="1" t="s">
        <v>61</v>
      </c>
      <c r="E5" s="17">
        <v>5.0</v>
      </c>
      <c r="F5" s="17">
        <v>119.64</v>
      </c>
      <c r="G5" s="13">
        <f t="shared" si="1"/>
        <v>599.6955</v>
      </c>
      <c r="H5" s="68">
        <v>19834.0</v>
      </c>
      <c r="I5" s="37"/>
      <c r="J5" s="37"/>
      <c r="K5" s="126"/>
      <c r="M5" s="129">
        <v>45792.0</v>
      </c>
      <c r="N5" s="22">
        <v>-32.83</v>
      </c>
      <c r="O5" s="22">
        <v>1000.0</v>
      </c>
      <c r="P5" s="22"/>
      <c r="Q5" s="20">
        <f>(O5)/N5</f>
        <v>-30.45994517</v>
      </c>
      <c r="U5" s="49"/>
    </row>
    <row r="6" ht="22.5" customHeight="1">
      <c r="A6" s="124">
        <v>45687.97861111111</v>
      </c>
      <c r="B6" s="125" t="s">
        <v>103</v>
      </c>
      <c r="C6" s="125" t="s">
        <v>13</v>
      </c>
      <c r="D6" s="1" t="s">
        <v>61</v>
      </c>
      <c r="E6" s="17">
        <v>1.0</v>
      </c>
      <c r="F6" s="17">
        <v>120.0</v>
      </c>
      <c r="G6" s="13">
        <f t="shared" si="1"/>
        <v>120.3</v>
      </c>
      <c r="H6" s="68">
        <v>4760.0</v>
      </c>
      <c r="I6" s="37"/>
      <c r="J6" s="37"/>
      <c r="K6" s="126"/>
      <c r="U6" s="49"/>
    </row>
    <row r="7" ht="22.5" customHeight="1">
      <c r="A7" s="124">
        <v>45691.954351851855</v>
      </c>
      <c r="B7" s="125" t="s">
        <v>103</v>
      </c>
      <c r="C7" s="125" t="s">
        <v>13</v>
      </c>
      <c r="D7" s="1" t="s">
        <v>55</v>
      </c>
      <c r="E7" s="17">
        <v>1.0</v>
      </c>
      <c r="F7" s="17">
        <v>380.0</v>
      </c>
      <c r="G7" s="13">
        <f t="shared" si="1"/>
        <v>380.95</v>
      </c>
      <c r="H7" s="68">
        <v>12565.0</v>
      </c>
      <c r="I7" s="37"/>
      <c r="J7" s="37"/>
      <c r="K7" s="126"/>
      <c r="U7" s="49"/>
    </row>
    <row r="8" ht="22.5" customHeight="1">
      <c r="A8" s="124">
        <v>45692.00523148148</v>
      </c>
      <c r="B8" s="125" t="s">
        <v>103</v>
      </c>
      <c r="C8" s="125" t="s">
        <v>13</v>
      </c>
      <c r="D8" s="1" t="s">
        <v>77</v>
      </c>
      <c r="E8" s="17">
        <v>2.0</v>
      </c>
      <c r="F8" s="17">
        <v>288.83</v>
      </c>
      <c r="G8" s="13">
        <f t="shared" si="1"/>
        <v>579.10415</v>
      </c>
      <c r="H8" s="68">
        <v>19053.0</v>
      </c>
      <c r="I8" s="37"/>
      <c r="J8" s="37"/>
      <c r="K8" s="126"/>
      <c r="U8" s="49"/>
    </row>
    <row r="9" ht="22.5" customHeight="1">
      <c r="A9" s="124">
        <v>45693.11164351852</v>
      </c>
      <c r="B9" s="125" t="s">
        <v>103</v>
      </c>
      <c r="C9" s="125" t="s">
        <v>13</v>
      </c>
      <c r="D9" s="1" t="s">
        <v>68</v>
      </c>
      <c r="E9" s="17">
        <v>2.0</v>
      </c>
      <c r="F9" s="17">
        <v>191.14</v>
      </c>
      <c r="G9" s="13">
        <f t="shared" si="1"/>
        <v>383.2357</v>
      </c>
      <c r="H9" s="68">
        <v>12597.0</v>
      </c>
      <c r="I9" s="37"/>
      <c r="J9" s="37"/>
      <c r="K9" s="126"/>
      <c r="U9" s="49"/>
    </row>
    <row r="10" ht="22.5" customHeight="1">
      <c r="A10" s="124">
        <v>45693.11178240741</v>
      </c>
      <c r="B10" s="125" t="s">
        <v>103</v>
      </c>
      <c r="C10" s="125" t="s">
        <v>13</v>
      </c>
      <c r="D10" s="1" t="s">
        <v>79</v>
      </c>
      <c r="E10" s="17">
        <v>3.0</v>
      </c>
      <c r="F10" s="17">
        <v>129.62</v>
      </c>
      <c r="G10" s="13">
        <f t="shared" si="1"/>
        <v>389.83215</v>
      </c>
      <c r="H10" s="68">
        <v>12814.0</v>
      </c>
      <c r="I10" s="37"/>
      <c r="J10" s="37"/>
      <c r="K10" s="126"/>
      <c r="L10" s="130">
        <f>H2+H7+H11</f>
        <v>50668</v>
      </c>
      <c r="M10" s="73" t="s">
        <v>95</v>
      </c>
      <c r="N10" s="73">
        <f>500149+329851+140000+24-1000</f>
        <v>969024</v>
      </c>
      <c r="P10" s="127">
        <f>P11*'總計'!J6</f>
        <v>1260876.21</v>
      </c>
      <c r="U10" s="49"/>
    </row>
    <row r="11" ht="22.5" customHeight="1">
      <c r="A11" s="124">
        <v>45694.939108796294</v>
      </c>
      <c r="B11" s="125" t="s">
        <v>103</v>
      </c>
      <c r="C11" s="125" t="s">
        <v>13</v>
      </c>
      <c r="D11" s="1" t="s">
        <v>55</v>
      </c>
      <c r="E11" s="17">
        <v>2.0</v>
      </c>
      <c r="F11" s="17">
        <v>372.0</v>
      </c>
      <c r="G11" s="13">
        <f t="shared" si="1"/>
        <v>745.86</v>
      </c>
      <c r="H11" s="68">
        <v>24518.0</v>
      </c>
      <c r="I11" s="37"/>
      <c r="J11" s="37"/>
      <c r="K11" s="126"/>
      <c r="M11" s="73" t="s">
        <v>94</v>
      </c>
      <c r="N11" s="73">
        <f> 15218.84+10059.53+25+4248.18-32.83</f>
        <v>29518.72</v>
      </c>
      <c r="O11" s="73" t="s">
        <v>105</v>
      </c>
      <c r="P11" s="43">
        <v>40370.0</v>
      </c>
      <c r="U11" s="49"/>
    </row>
    <row r="12" ht="22.5" customHeight="1">
      <c r="A12" s="124">
        <v>45699.95756944444</v>
      </c>
      <c r="B12" s="125" t="s">
        <v>103</v>
      </c>
      <c r="C12" s="125" t="s">
        <v>13</v>
      </c>
      <c r="D12" s="1" t="s">
        <v>78</v>
      </c>
      <c r="E12" s="17">
        <v>200.0</v>
      </c>
      <c r="F12" s="17">
        <v>2.5</v>
      </c>
      <c r="G12" s="13">
        <f t="shared" si="1"/>
        <v>501.25</v>
      </c>
      <c r="H12" s="54">
        <v>16521.546875</v>
      </c>
      <c r="I12" s="20"/>
      <c r="J12" s="20"/>
      <c r="M12" s="73" t="s">
        <v>97</v>
      </c>
      <c r="N12" s="127">
        <f>N10/N11</f>
        <v>32.82743967</v>
      </c>
      <c r="O12" s="73" t="s">
        <v>106</v>
      </c>
      <c r="P12" s="44">
        <f>P11-N11</f>
        <v>10851.28</v>
      </c>
      <c r="U12" s="49"/>
    </row>
    <row r="13" ht="22.5" customHeight="1">
      <c r="A13" s="131">
        <v>45699.01986111111</v>
      </c>
      <c r="B13" s="125" t="s">
        <v>103</v>
      </c>
      <c r="C13" s="125" t="s">
        <v>13</v>
      </c>
      <c r="D13" s="1" t="s">
        <v>78</v>
      </c>
      <c r="E13" s="17">
        <v>200.0</v>
      </c>
      <c r="F13" s="17">
        <v>2.3</v>
      </c>
      <c r="G13" s="13">
        <f t="shared" si="1"/>
        <v>461.15</v>
      </c>
      <c r="H13" s="54">
        <v>15199.823125000003</v>
      </c>
      <c r="I13" s="20"/>
      <c r="J13" s="20"/>
      <c r="P13" s="110">
        <f>P12/N11</f>
        <v>0.3676067255</v>
      </c>
      <c r="U13" s="49"/>
    </row>
    <row r="14" ht="22.5" customHeight="1">
      <c r="A14" s="131">
        <v>45699.11039351852</v>
      </c>
      <c r="B14" s="93" t="s">
        <v>107</v>
      </c>
      <c r="C14" s="125" t="s">
        <v>13</v>
      </c>
      <c r="D14" s="132" t="s">
        <v>55</v>
      </c>
      <c r="E14" s="22">
        <v>4.0</v>
      </c>
      <c r="F14" s="22">
        <v>332.0</v>
      </c>
      <c r="G14" s="13">
        <f t="shared" si="1"/>
        <v>1324.68</v>
      </c>
      <c r="H14" s="62">
        <v>43530.32</v>
      </c>
      <c r="I14" s="23">
        <v>1537.56</v>
      </c>
      <c r="J14" s="23">
        <v>50668.0</v>
      </c>
      <c r="K14" s="126"/>
      <c r="U14" s="49"/>
    </row>
    <row r="15" ht="22.5" customHeight="1">
      <c r="A15" s="131">
        <v>45701.0</v>
      </c>
      <c r="B15" s="93" t="s">
        <v>103</v>
      </c>
      <c r="C15" s="93" t="s">
        <v>108</v>
      </c>
      <c r="D15" s="132" t="s">
        <v>60</v>
      </c>
      <c r="E15" s="22">
        <v>2.68928</v>
      </c>
      <c r="F15" s="22">
        <v>557.77011</v>
      </c>
      <c r="G15" s="41">
        <f t="shared" si="1"/>
        <v>1500.000001</v>
      </c>
      <c r="H15" s="68">
        <f t="shared" ref="H15:H24" si="3">N$10/N$11*G15</f>
        <v>49241.15955</v>
      </c>
      <c r="I15" s="37"/>
      <c r="J15" s="37"/>
      <c r="K15" s="126"/>
      <c r="U15" s="49"/>
    </row>
    <row r="16" ht="22.5" customHeight="1">
      <c r="A16" s="131">
        <v>45701.0</v>
      </c>
      <c r="B16" s="93" t="s">
        <v>103</v>
      </c>
      <c r="C16" s="93" t="s">
        <v>108</v>
      </c>
      <c r="D16" s="132" t="s">
        <v>58</v>
      </c>
      <c r="E16" s="133">
        <v>5.63116</v>
      </c>
      <c r="F16" s="133">
        <v>532.74991</v>
      </c>
      <c r="G16" s="41">
        <f t="shared" si="1"/>
        <v>2999.999983</v>
      </c>
      <c r="H16" s="68">
        <f t="shared" si="3"/>
        <v>98482.31846</v>
      </c>
      <c r="I16" s="37"/>
      <c r="J16" s="37"/>
      <c r="K16" s="126"/>
      <c r="U16" s="49"/>
    </row>
    <row r="17" ht="22.5" customHeight="1">
      <c r="A17" s="131">
        <v>45701.0</v>
      </c>
      <c r="B17" s="93" t="s">
        <v>103</v>
      </c>
      <c r="C17" s="93" t="s">
        <v>108</v>
      </c>
      <c r="D17" s="132" t="s">
        <v>67</v>
      </c>
      <c r="E17" s="134">
        <v>8.58885</v>
      </c>
      <c r="F17" s="133">
        <v>116.43002</v>
      </c>
      <c r="G17" s="41">
        <f t="shared" si="1"/>
        <v>999.9999773</v>
      </c>
      <c r="H17" s="68">
        <f t="shared" si="3"/>
        <v>32827.43893</v>
      </c>
      <c r="I17" s="37"/>
      <c r="J17" s="37"/>
      <c r="K17" s="126"/>
      <c r="U17" s="49"/>
    </row>
    <row r="18" ht="22.5" customHeight="1">
      <c r="A18" s="131">
        <v>45701.0</v>
      </c>
      <c r="B18" s="93" t="s">
        <v>103</v>
      </c>
      <c r="C18" s="93" t="s">
        <v>108</v>
      </c>
      <c r="D18" s="132" t="s">
        <v>109</v>
      </c>
      <c r="E18" s="134">
        <v>18.32176</v>
      </c>
      <c r="F18" s="133">
        <v>54.57991</v>
      </c>
      <c r="G18" s="41">
        <f t="shared" si="1"/>
        <v>1000.000012</v>
      </c>
      <c r="H18" s="68">
        <f t="shared" si="3"/>
        <v>32827.44006</v>
      </c>
      <c r="I18" s="37"/>
      <c r="J18" s="37"/>
      <c r="K18" s="126"/>
      <c r="U18" s="49"/>
    </row>
    <row r="19" ht="22.5" customHeight="1">
      <c r="A19" s="131">
        <v>45701.0</v>
      </c>
      <c r="B19" s="93" t="s">
        <v>103</v>
      </c>
      <c r="C19" s="93" t="s">
        <v>108</v>
      </c>
      <c r="D19" s="132" t="s">
        <v>68</v>
      </c>
      <c r="E19" s="135">
        <v>2.0</v>
      </c>
      <c r="F19" s="133">
        <v>183.63</v>
      </c>
      <c r="G19" s="41">
        <f t="shared" si="1"/>
        <v>367.26</v>
      </c>
      <c r="H19" s="68">
        <f t="shared" si="3"/>
        <v>12056.20549</v>
      </c>
      <c r="I19" s="37"/>
      <c r="J19" s="37"/>
      <c r="K19" s="126"/>
      <c r="U19" s="49"/>
    </row>
    <row r="20" ht="22.5" customHeight="1">
      <c r="A20" s="131">
        <v>45701.0</v>
      </c>
      <c r="B20" s="93" t="s">
        <v>103</v>
      </c>
      <c r="C20" s="93" t="s">
        <v>108</v>
      </c>
      <c r="D20" s="132" t="s">
        <v>63</v>
      </c>
      <c r="E20" s="22">
        <v>1.0</v>
      </c>
      <c r="F20" s="136">
        <v>1072.5</v>
      </c>
      <c r="G20" s="41">
        <f t="shared" si="1"/>
        <v>1072.5</v>
      </c>
      <c r="H20" s="68">
        <f t="shared" si="3"/>
        <v>35207.42905</v>
      </c>
      <c r="I20" s="37"/>
      <c r="J20" s="37"/>
      <c r="K20" s="126"/>
      <c r="U20" s="49"/>
    </row>
    <row r="21" ht="22.5" customHeight="1">
      <c r="A21" s="131">
        <v>45702.0</v>
      </c>
      <c r="B21" s="93" t="s">
        <v>103</v>
      </c>
      <c r="C21" s="93" t="s">
        <v>108</v>
      </c>
      <c r="D21" s="132" t="s">
        <v>55</v>
      </c>
      <c r="E21" s="22">
        <v>1.0</v>
      </c>
      <c r="F21" s="137">
        <v>359.5</v>
      </c>
      <c r="G21" s="41">
        <f t="shared" si="1"/>
        <v>359.5</v>
      </c>
      <c r="H21" s="68">
        <f t="shared" si="3"/>
        <v>11801.46456</v>
      </c>
      <c r="I21" s="37"/>
      <c r="J21" s="37"/>
      <c r="K21" s="126"/>
      <c r="U21" s="49"/>
    </row>
    <row r="22" ht="22.5" customHeight="1">
      <c r="A22" s="131">
        <v>45702.0</v>
      </c>
      <c r="B22" s="93" t="s">
        <v>103</v>
      </c>
      <c r="C22" s="93" t="s">
        <v>108</v>
      </c>
      <c r="D22" s="132" t="s">
        <v>73</v>
      </c>
      <c r="E22" s="22">
        <v>1.0</v>
      </c>
      <c r="F22" s="137">
        <v>227.95</v>
      </c>
      <c r="G22" s="41">
        <f t="shared" si="1"/>
        <v>227.95</v>
      </c>
      <c r="H22" s="68">
        <f t="shared" si="3"/>
        <v>7483.014873</v>
      </c>
      <c r="I22" s="37"/>
      <c r="J22" s="37"/>
      <c r="K22" s="126"/>
      <c r="U22" s="49"/>
    </row>
    <row r="23" ht="22.5" customHeight="1">
      <c r="A23" s="131">
        <v>45703.9375</v>
      </c>
      <c r="B23" s="93" t="s">
        <v>103</v>
      </c>
      <c r="C23" s="93" t="s">
        <v>108</v>
      </c>
      <c r="D23" s="132" t="s">
        <v>110</v>
      </c>
      <c r="E23" s="22">
        <v>5.0</v>
      </c>
      <c r="F23" s="137">
        <v>23.29</v>
      </c>
      <c r="G23" s="41">
        <f t="shared" si="1"/>
        <v>116.45</v>
      </c>
      <c r="H23" s="68">
        <f t="shared" si="3"/>
        <v>3822.75535</v>
      </c>
      <c r="I23" s="37"/>
      <c r="J23" s="37"/>
      <c r="K23" s="126"/>
      <c r="U23" s="49"/>
    </row>
    <row r="24" ht="22.5" customHeight="1">
      <c r="A24" s="131">
        <v>45703.125</v>
      </c>
      <c r="B24" s="93" t="s">
        <v>103</v>
      </c>
      <c r="C24" s="93" t="s">
        <v>108</v>
      </c>
      <c r="D24" s="132" t="s">
        <v>111</v>
      </c>
      <c r="E24" s="22">
        <v>1.0</v>
      </c>
      <c r="F24" s="137">
        <v>482.59</v>
      </c>
      <c r="G24" s="41">
        <f t="shared" si="1"/>
        <v>482.59</v>
      </c>
      <c r="H24" s="68">
        <f t="shared" si="3"/>
        <v>15842.19411</v>
      </c>
      <c r="I24" s="37"/>
      <c r="J24" s="37"/>
      <c r="K24" s="126"/>
      <c r="U24" s="49"/>
    </row>
    <row r="25" ht="22.5" customHeight="1">
      <c r="A25" s="131">
        <v>45705.0</v>
      </c>
      <c r="B25" s="93" t="s">
        <v>103</v>
      </c>
      <c r="C25" s="93" t="s">
        <v>13</v>
      </c>
      <c r="D25" s="132" t="s">
        <v>69</v>
      </c>
      <c r="E25" s="22">
        <v>200.0</v>
      </c>
      <c r="F25" s="137">
        <v>5.57</v>
      </c>
      <c r="G25" s="41">
        <f>E25*F25*1.006</f>
        <v>1120.684</v>
      </c>
      <c r="H25" s="68">
        <v>36698.0</v>
      </c>
      <c r="I25" s="37"/>
      <c r="J25" s="37"/>
      <c r="K25" s="126"/>
      <c r="U25" s="49"/>
    </row>
    <row r="26" ht="22.5" customHeight="1">
      <c r="A26" s="131">
        <v>45706.958333333336</v>
      </c>
      <c r="B26" s="93" t="s">
        <v>103</v>
      </c>
      <c r="C26" s="93" t="s">
        <v>108</v>
      </c>
      <c r="D26" s="132" t="s">
        <v>109</v>
      </c>
      <c r="E26" s="22">
        <v>0.68129</v>
      </c>
      <c r="F26" s="137">
        <v>54.25</v>
      </c>
      <c r="G26" s="41">
        <f t="shared" ref="G26:G123" si="4">IF(C26="富邦", 
    IF(B26="買進", E26*F26*1.0025, 
    IF(B26="賣出", E26*F26*0.9975, E26*F26)), 
    E26*F26)
</f>
        <v>36.9599825</v>
      </c>
      <c r="H26" s="68">
        <f t="shared" ref="H26:H80" si="5">N$10/N$11*G26</f>
        <v>1213.301596</v>
      </c>
      <c r="I26" s="37"/>
      <c r="J26" s="37"/>
      <c r="K26" s="126"/>
      <c r="U26" s="49"/>
    </row>
    <row r="27" ht="22.5" customHeight="1">
      <c r="A27" s="131">
        <v>45706.958333333336</v>
      </c>
      <c r="B27" s="93" t="s">
        <v>103</v>
      </c>
      <c r="C27" s="93" t="s">
        <v>108</v>
      </c>
      <c r="D27" s="132" t="s">
        <v>63</v>
      </c>
      <c r="E27" s="17">
        <v>0.25</v>
      </c>
      <c r="F27" s="22">
        <v>1059.0</v>
      </c>
      <c r="G27" s="41">
        <f t="shared" si="4"/>
        <v>264.75</v>
      </c>
      <c r="H27" s="68">
        <f t="shared" si="5"/>
        <v>8691.064653</v>
      </c>
      <c r="I27" s="37"/>
      <c r="J27" s="37"/>
      <c r="K27" s="126"/>
      <c r="U27" s="49"/>
    </row>
    <row r="28" ht="22.5" customHeight="1">
      <c r="A28" s="131">
        <v>45706.958333333336</v>
      </c>
      <c r="B28" s="93" t="s">
        <v>103</v>
      </c>
      <c r="C28" s="93" t="s">
        <v>108</v>
      </c>
      <c r="D28" s="132" t="s">
        <v>55</v>
      </c>
      <c r="E28" s="17">
        <v>2.0</v>
      </c>
      <c r="F28" s="22">
        <v>354.28</v>
      </c>
      <c r="G28" s="41">
        <f t="shared" si="4"/>
        <v>708.56</v>
      </c>
      <c r="H28" s="68">
        <f t="shared" si="5"/>
        <v>23260.21065</v>
      </c>
      <c r="I28" s="37"/>
      <c r="J28" s="37"/>
      <c r="K28" s="126"/>
      <c r="M28" s="138"/>
      <c r="U28" s="49"/>
    </row>
    <row r="29" ht="22.5" customHeight="1">
      <c r="A29" s="131">
        <v>45707.06041666667</v>
      </c>
      <c r="B29" s="93" t="s">
        <v>103</v>
      </c>
      <c r="C29" s="93" t="s">
        <v>108</v>
      </c>
      <c r="D29" s="132" t="s">
        <v>63</v>
      </c>
      <c r="E29" s="22">
        <v>0.25</v>
      </c>
      <c r="F29" s="22">
        <v>1046.74</v>
      </c>
      <c r="G29" s="41">
        <f t="shared" si="4"/>
        <v>261.685</v>
      </c>
      <c r="H29" s="68">
        <f t="shared" si="5"/>
        <v>8590.448551</v>
      </c>
      <c r="I29" s="37"/>
      <c r="J29" s="37"/>
      <c r="K29" s="126"/>
      <c r="U29" s="49"/>
    </row>
    <row r="30" ht="22.5" customHeight="1">
      <c r="A30" s="131">
        <v>45707.94236111111</v>
      </c>
      <c r="B30" s="93" t="s">
        <v>103</v>
      </c>
      <c r="C30" s="93" t="s">
        <v>108</v>
      </c>
      <c r="D30" s="132" t="s">
        <v>62</v>
      </c>
      <c r="E30" s="22">
        <v>3.0</v>
      </c>
      <c r="F30" s="22">
        <v>188.5</v>
      </c>
      <c r="G30" s="41">
        <f t="shared" si="4"/>
        <v>565.5</v>
      </c>
      <c r="H30" s="68">
        <f t="shared" si="5"/>
        <v>18563.91713</v>
      </c>
      <c r="I30" s="37"/>
      <c r="J30" s="37"/>
      <c r="K30" s="126"/>
      <c r="U30" s="49"/>
    </row>
    <row r="31" ht="22.5" customHeight="1">
      <c r="A31" s="131">
        <v>45708.955555555556</v>
      </c>
      <c r="B31" s="93" t="s">
        <v>103</v>
      </c>
      <c r="C31" s="93" t="s">
        <v>108</v>
      </c>
      <c r="D31" s="132" t="s">
        <v>63</v>
      </c>
      <c r="E31" s="22">
        <v>0.1</v>
      </c>
      <c r="F31" s="22">
        <v>1037.47</v>
      </c>
      <c r="G31" s="41">
        <f t="shared" si="4"/>
        <v>103.747</v>
      </c>
      <c r="H31" s="68">
        <f t="shared" si="5"/>
        <v>3405.748384</v>
      </c>
      <c r="I31" s="37"/>
      <c r="J31" s="37"/>
      <c r="K31" s="126"/>
      <c r="U31" s="49"/>
    </row>
    <row r="32" ht="22.5" customHeight="1">
      <c r="A32" s="131">
        <v>45708.95694444444</v>
      </c>
      <c r="B32" s="93" t="s">
        <v>103</v>
      </c>
      <c r="C32" s="93" t="s">
        <v>108</v>
      </c>
      <c r="D32" s="132" t="s">
        <v>62</v>
      </c>
      <c r="E32" s="22">
        <v>2.0</v>
      </c>
      <c r="F32" s="22">
        <v>178.0</v>
      </c>
      <c r="G32" s="41">
        <f t="shared" si="4"/>
        <v>356</v>
      </c>
      <c r="H32" s="68">
        <f t="shared" si="5"/>
        <v>11686.56852</v>
      </c>
      <c r="I32" s="37"/>
      <c r="J32" s="37"/>
      <c r="K32" s="126"/>
      <c r="U32" s="49"/>
    </row>
    <row r="33" ht="22.5" customHeight="1">
      <c r="A33" s="131">
        <v>45709.05486111111</v>
      </c>
      <c r="B33" s="93" t="s">
        <v>103</v>
      </c>
      <c r="C33" s="93" t="s">
        <v>108</v>
      </c>
      <c r="D33" s="132" t="s">
        <v>62</v>
      </c>
      <c r="E33" s="22">
        <v>1.0</v>
      </c>
      <c r="F33" s="22">
        <v>173.0</v>
      </c>
      <c r="G33" s="41">
        <f t="shared" si="4"/>
        <v>173</v>
      </c>
      <c r="H33" s="68">
        <f t="shared" si="5"/>
        <v>5679.147063</v>
      </c>
      <c r="I33" s="37"/>
      <c r="J33" s="37"/>
      <c r="K33" s="126"/>
      <c r="U33" s="49"/>
    </row>
    <row r="34" ht="22.5" customHeight="1">
      <c r="A34" s="131">
        <v>45690.00121527778</v>
      </c>
      <c r="B34" s="93" t="s">
        <v>103</v>
      </c>
      <c r="C34" s="93" t="s">
        <v>108</v>
      </c>
      <c r="D34" s="132" t="s">
        <v>62</v>
      </c>
      <c r="E34" s="22">
        <v>1.0</v>
      </c>
      <c r="F34" s="22">
        <v>168.5999</v>
      </c>
      <c r="G34" s="41">
        <f t="shared" si="4"/>
        <v>168.5999</v>
      </c>
      <c r="H34" s="68">
        <f t="shared" si="5"/>
        <v>5534.703046</v>
      </c>
      <c r="I34" s="37"/>
      <c r="J34" s="37"/>
      <c r="K34" s="126"/>
      <c r="U34" s="49"/>
    </row>
    <row r="35" ht="22.5" customHeight="1">
      <c r="A35" s="131">
        <v>45710.089583333334</v>
      </c>
      <c r="B35" s="93" t="s">
        <v>103</v>
      </c>
      <c r="C35" s="93" t="s">
        <v>108</v>
      </c>
      <c r="D35" s="132" t="s">
        <v>60</v>
      </c>
      <c r="E35" s="22">
        <v>0.90171</v>
      </c>
      <c r="F35" s="22">
        <v>554.5025</v>
      </c>
      <c r="G35" s="41">
        <f t="shared" si="4"/>
        <v>500.0004493</v>
      </c>
      <c r="H35" s="68">
        <f t="shared" si="5"/>
        <v>16413.73458</v>
      </c>
      <c r="I35" s="37"/>
      <c r="J35" s="37"/>
      <c r="K35" s="126"/>
      <c r="U35" s="49"/>
    </row>
    <row r="36" ht="22.5" customHeight="1">
      <c r="A36" s="131">
        <v>45710.12222222222</v>
      </c>
      <c r="B36" s="93" t="s">
        <v>103</v>
      </c>
      <c r="C36" s="93" t="s">
        <v>108</v>
      </c>
      <c r="D36" s="132" t="s">
        <v>112</v>
      </c>
      <c r="E36" s="22">
        <v>70.0</v>
      </c>
      <c r="F36" s="22">
        <v>4.9</v>
      </c>
      <c r="G36" s="41">
        <f t="shared" si="4"/>
        <v>343</v>
      </c>
      <c r="H36" s="68">
        <f t="shared" si="5"/>
        <v>11259.81181</v>
      </c>
      <c r="I36" s="37"/>
      <c r="J36" s="37"/>
      <c r="K36" s="126"/>
      <c r="U36" s="49"/>
    </row>
    <row r="37" ht="22.5" customHeight="1">
      <c r="A37" s="131">
        <v>45712.875</v>
      </c>
      <c r="B37" s="93" t="s">
        <v>103</v>
      </c>
      <c r="C37" s="93" t="s">
        <v>108</v>
      </c>
      <c r="D37" s="132" t="s">
        <v>58</v>
      </c>
      <c r="E37" s="22">
        <v>1.0</v>
      </c>
      <c r="F37" s="22">
        <v>528.15</v>
      </c>
      <c r="G37" s="41">
        <f t="shared" si="4"/>
        <v>528.15</v>
      </c>
      <c r="H37" s="68">
        <f t="shared" si="5"/>
        <v>17337.81226</v>
      </c>
      <c r="I37" s="37"/>
      <c r="J37" s="37"/>
      <c r="K37" s="126"/>
      <c r="U37" s="49"/>
    </row>
    <row r="38" ht="22.5" customHeight="1">
      <c r="A38" s="131">
        <v>45712.875</v>
      </c>
      <c r="B38" s="93" t="s">
        <v>103</v>
      </c>
      <c r="C38" s="93" t="s">
        <v>108</v>
      </c>
      <c r="D38" s="132" t="s">
        <v>55</v>
      </c>
      <c r="E38" s="22">
        <v>2.0</v>
      </c>
      <c r="F38" s="22">
        <v>332.66</v>
      </c>
      <c r="G38" s="41">
        <f t="shared" si="4"/>
        <v>665.32</v>
      </c>
      <c r="H38" s="68">
        <f t="shared" si="5"/>
        <v>21840.75216</v>
      </c>
      <c r="I38" s="37"/>
      <c r="J38" s="37"/>
      <c r="K38" s="126"/>
      <c r="U38" s="49"/>
    </row>
    <row r="39" ht="22.5" customHeight="1">
      <c r="A39" s="131">
        <v>45712.90482638889</v>
      </c>
      <c r="B39" s="93" t="s">
        <v>103</v>
      </c>
      <c r="C39" s="93" t="s">
        <v>108</v>
      </c>
      <c r="D39" s="132" t="s">
        <v>75</v>
      </c>
      <c r="E39" s="22">
        <v>5.0</v>
      </c>
      <c r="F39" s="22">
        <v>83.75</v>
      </c>
      <c r="G39" s="41">
        <f t="shared" si="4"/>
        <v>418.75</v>
      </c>
      <c r="H39" s="68">
        <f t="shared" si="5"/>
        <v>13746.49036</v>
      </c>
      <c r="I39" s="37"/>
      <c r="J39" s="37"/>
      <c r="K39" s="126"/>
      <c r="U39" s="49"/>
    </row>
    <row r="40" ht="22.5" customHeight="1">
      <c r="A40" s="131">
        <v>45712.94375</v>
      </c>
      <c r="B40" s="93" t="s">
        <v>103</v>
      </c>
      <c r="C40" s="93" t="s">
        <v>108</v>
      </c>
      <c r="D40" s="132" t="s">
        <v>61</v>
      </c>
      <c r="E40" s="22">
        <v>2.0</v>
      </c>
      <c r="F40" s="22">
        <v>137.2199</v>
      </c>
      <c r="G40" s="41">
        <f t="shared" si="4"/>
        <v>274.4398</v>
      </c>
      <c r="H40" s="68">
        <f t="shared" si="5"/>
        <v>9009.155978</v>
      </c>
      <c r="I40" s="37"/>
      <c r="J40" s="37"/>
      <c r="K40" s="126"/>
      <c r="U40" s="49"/>
    </row>
    <row r="41" ht="22.5" customHeight="1">
      <c r="A41" s="131">
        <v>45712.94583333333</v>
      </c>
      <c r="B41" s="93" t="s">
        <v>103</v>
      </c>
      <c r="C41" s="93" t="s">
        <v>108</v>
      </c>
      <c r="D41" s="132" t="s">
        <v>66</v>
      </c>
      <c r="E41" s="22">
        <v>5.0</v>
      </c>
      <c r="F41" s="22">
        <v>95.4399</v>
      </c>
      <c r="G41" s="41">
        <f t="shared" si="4"/>
        <v>477.1995</v>
      </c>
      <c r="H41" s="68">
        <f t="shared" si="5"/>
        <v>15665.2378</v>
      </c>
      <c r="I41" s="37"/>
      <c r="J41" s="37"/>
      <c r="K41" s="126"/>
      <c r="U41" s="49"/>
    </row>
    <row r="42" ht="22.5" customHeight="1">
      <c r="A42" s="131">
        <v>45712.96319444444</v>
      </c>
      <c r="B42" s="93" t="s">
        <v>103</v>
      </c>
      <c r="C42" s="93" t="s">
        <v>108</v>
      </c>
      <c r="D42" s="132" t="s">
        <v>58</v>
      </c>
      <c r="E42" s="22">
        <v>0.96077</v>
      </c>
      <c r="F42" s="22">
        <v>520.415</v>
      </c>
      <c r="G42" s="41">
        <f t="shared" si="4"/>
        <v>499.9991196</v>
      </c>
      <c r="H42" s="68">
        <f t="shared" si="5"/>
        <v>16413.69093</v>
      </c>
      <c r="I42" s="37"/>
      <c r="J42" s="37"/>
      <c r="K42" s="126"/>
      <c r="U42" s="49"/>
    </row>
    <row r="43" ht="22.5" customHeight="1">
      <c r="A43" s="131">
        <v>45712.96527777778</v>
      </c>
      <c r="B43" s="93" t="s">
        <v>103</v>
      </c>
      <c r="C43" s="93" t="s">
        <v>108</v>
      </c>
      <c r="D43" s="132" t="s">
        <v>60</v>
      </c>
      <c r="E43" s="22">
        <v>0.90943</v>
      </c>
      <c r="F43" s="22">
        <v>549.79</v>
      </c>
      <c r="G43" s="41">
        <f t="shared" si="4"/>
        <v>499.9955197</v>
      </c>
      <c r="H43" s="68">
        <f t="shared" si="5"/>
        <v>16413.57276</v>
      </c>
      <c r="I43" s="37"/>
      <c r="J43" s="37"/>
      <c r="K43" s="126"/>
      <c r="U43" s="49"/>
    </row>
    <row r="44" ht="22.5" customHeight="1">
      <c r="A44" s="131">
        <v>45713.19755787037</v>
      </c>
      <c r="B44" s="93" t="s">
        <v>103</v>
      </c>
      <c r="C44" s="93" t="s">
        <v>108</v>
      </c>
      <c r="D44" s="132" t="s">
        <v>66</v>
      </c>
      <c r="E44" s="22">
        <v>2.0</v>
      </c>
      <c r="F44" s="22">
        <v>90.0</v>
      </c>
      <c r="G44" s="41">
        <f t="shared" si="4"/>
        <v>180</v>
      </c>
      <c r="H44" s="68">
        <f t="shared" si="5"/>
        <v>5908.939141</v>
      </c>
      <c r="I44" s="37"/>
      <c r="J44" s="37"/>
      <c r="K44" s="126"/>
      <c r="U44" s="49"/>
    </row>
    <row r="45" ht="22.5" customHeight="1">
      <c r="A45" s="131">
        <v>45713.933333333334</v>
      </c>
      <c r="B45" s="93" t="s">
        <v>103</v>
      </c>
      <c r="C45" s="93" t="s">
        <v>108</v>
      </c>
      <c r="D45" s="132" t="s">
        <v>58</v>
      </c>
      <c r="E45" s="22">
        <v>1.0</v>
      </c>
      <c r="F45" s="22">
        <v>519.4</v>
      </c>
      <c r="G45" s="41">
        <f t="shared" si="4"/>
        <v>519.4</v>
      </c>
      <c r="H45" s="68">
        <f t="shared" si="5"/>
        <v>17050.57217</v>
      </c>
      <c r="I45" s="37"/>
      <c r="J45" s="37"/>
      <c r="K45" s="126"/>
      <c r="U45" s="49"/>
    </row>
    <row r="46" ht="22.5" customHeight="1">
      <c r="A46" s="131">
        <v>45713.96319444444</v>
      </c>
      <c r="B46" s="93" t="s">
        <v>103</v>
      </c>
      <c r="C46" s="93" t="s">
        <v>108</v>
      </c>
      <c r="D46" s="132" t="s">
        <v>61</v>
      </c>
      <c r="E46" s="22">
        <v>2.0</v>
      </c>
      <c r="F46" s="22">
        <v>126.76</v>
      </c>
      <c r="G46" s="41">
        <f t="shared" si="4"/>
        <v>253.52</v>
      </c>
      <c r="H46" s="68">
        <f t="shared" si="5"/>
        <v>8322.412506</v>
      </c>
      <c r="I46" s="37"/>
      <c r="J46" s="37"/>
      <c r="K46" s="126"/>
      <c r="U46" s="49"/>
    </row>
    <row r="47" ht="22.5" customHeight="1">
      <c r="A47" s="131">
        <v>45713.9625</v>
      </c>
      <c r="B47" s="93" t="s">
        <v>103</v>
      </c>
      <c r="C47" s="93" t="s">
        <v>108</v>
      </c>
      <c r="D47" s="132" t="s">
        <v>55</v>
      </c>
      <c r="E47" s="22">
        <v>2.0</v>
      </c>
      <c r="F47" s="22">
        <v>311.69</v>
      </c>
      <c r="G47" s="41">
        <f t="shared" si="4"/>
        <v>623.38</v>
      </c>
      <c r="H47" s="68">
        <f t="shared" si="5"/>
        <v>20463.96934</v>
      </c>
      <c r="I47" s="37"/>
      <c r="J47" s="37"/>
      <c r="K47" s="126"/>
      <c r="U47" s="49"/>
    </row>
    <row r="48" ht="22.5" customHeight="1">
      <c r="A48" s="131">
        <v>45713.96666666667</v>
      </c>
      <c r="B48" s="93" t="s">
        <v>103</v>
      </c>
      <c r="C48" s="93" t="s">
        <v>108</v>
      </c>
      <c r="D48" s="132" t="s">
        <v>62</v>
      </c>
      <c r="E48" s="22">
        <v>1.0</v>
      </c>
      <c r="F48" s="22">
        <v>158.285</v>
      </c>
      <c r="G48" s="41">
        <f t="shared" si="4"/>
        <v>158.285</v>
      </c>
      <c r="H48" s="68">
        <f t="shared" si="5"/>
        <v>5196.091289</v>
      </c>
      <c r="I48" s="37"/>
      <c r="J48" s="37"/>
      <c r="K48" s="126"/>
      <c r="U48" s="49"/>
    </row>
    <row r="49" ht="22.5" customHeight="1">
      <c r="A49" s="131">
        <v>45714.129166666666</v>
      </c>
      <c r="B49" s="93" t="s">
        <v>103</v>
      </c>
      <c r="C49" s="93" t="s">
        <v>108</v>
      </c>
      <c r="D49" s="132" t="s">
        <v>55</v>
      </c>
      <c r="E49" s="22">
        <v>1.0</v>
      </c>
      <c r="F49" s="22">
        <v>300.0</v>
      </c>
      <c r="G49" s="41">
        <f t="shared" si="4"/>
        <v>300</v>
      </c>
      <c r="H49" s="68">
        <f t="shared" si="5"/>
        <v>9848.231902</v>
      </c>
      <c r="I49" s="37"/>
      <c r="J49" s="37"/>
      <c r="K49" s="126"/>
      <c r="U49" s="49"/>
    </row>
    <row r="50" ht="22.5" customHeight="1">
      <c r="A50" s="131">
        <v>45714.99236111111</v>
      </c>
      <c r="B50" s="93" t="s">
        <v>103</v>
      </c>
      <c r="C50" s="93" t="s">
        <v>108</v>
      </c>
      <c r="D50" s="132" t="s">
        <v>55</v>
      </c>
      <c r="E50" s="22">
        <v>1.0</v>
      </c>
      <c r="F50" s="22">
        <v>299.76</v>
      </c>
      <c r="G50" s="41">
        <f t="shared" si="4"/>
        <v>299.76</v>
      </c>
      <c r="H50" s="68">
        <f t="shared" si="5"/>
        <v>9840.353316</v>
      </c>
      <c r="I50" s="37"/>
      <c r="J50" s="37"/>
      <c r="K50" s="126"/>
      <c r="U50" s="49"/>
    </row>
    <row r="51" ht="22.5" customHeight="1">
      <c r="A51" s="131">
        <v>45715.0</v>
      </c>
      <c r="B51" s="93" t="s">
        <v>103</v>
      </c>
      <c r="C51" s="93" t="s">
        <v>108</v>
      </c>
      <c r="D51" s="132" t="s">
        <v>113</v>
      </c>
      <c r="E51" s="22">
        <v>1.0</v>
      </c>
      <c r="F51" s="22">
        <v>15.4999</v>
      </c>
      <c r="G51" s="41">
        <f t="shared" si="4"/>
        <v>15.4999</v>
      </c>
      <c r="H51" s="68">
        <f t="shared" si="5"/>
        <v>508.8220322</v>
      </c>
      <c r="I51" s="37"/>
      <c r="J51" s="37"/>
      <c r="K51" s="126"/>
      <c r="U51" s="49"/>
    </row>
    <row r="52" ht="22.5" customHeight="1">
      <c r="A52" s="131">
        <v>45715.00833333333</v>
      </c>
      <c r="B52" s="93" t="s">
        <v>103</v>
      </c>
      <c r="C52" s="93" t="s">
        <v>108</v>
      </c>
      <c r="D52" s="132" t="s">
        <v>114</v>
      </c>
      <c r="E52" s="22">
        <v>0.1</v>
      </c>
      <c r="F52" s="22">
        <v>350.135</v>
      </c>
      <c r="G52" s="41">
        <f t="shared" si="4"/>
        <v>35.0135</v>
      </c>
      <c r="H52" s="68">
        <f t="shared" si="5"/>
        <v>1149.403559</v>
      </c>
      <c r="I52" s="37"/>
      <c r="J52" s="37"/>
      <c r="K52" s="126"/>
      <c r="U52" s="49"/>
    </row>
    <row r="53" ht="22.5" customHeight="1">
      <c r="A53" s="131">
        <v>45349.481944444444</v>
      </c>
      <c r="B53" s="93" t="s">
        <v>103</v>
      </c>
      <c r="C53" s="93" t="s">
        <v>108</v>
      </c>
      <c r="D53" s="132" t="s">
        <v>68</v>
      </c>
      <c r="E53" s="22">
        <v>0.5</v>
      </c>
      <c r="F53" s="22">
        <v>170.0</v>
      </c>
      <c r="G53" s="41">
        <f t="shared" si="4"/>
        <v>85</v>
      </c>
      <c r="H53" s="68">
        <f t="shared" si="5"/>
        <v>2790.332372</v>
      </c>
      <c r="I53" s="37"/>
      <c r="J53" s="37"/>
      <c r="K53" s="126"/>
      <c r="U53" s="49"/>
    </row>
    <row r="54" ht="22.5" customHeight="1">
      <c r="A54" s="131">
        <v>45716.16805555556</v>
      </c>
      <c r="B54" s="93" t="s">
        <v>103</v>
      </c>
      <c r="C54" s="93" t="s">
        <v>108</v>
      </c>
      <c r="D54" s="132" t="s">
        <v>73</v>
      </c>
      <c r="E54" s="22">
        <v>0.5</v>
      </c>
      <c r="F54" s="22">
        <v>210.0</v>
      </c>
      <c r="G54" s="41">
        <f t="shared" si="4"/>
        <v>105</v>
      </c>
      <c r="H54" s="68">
        <f t="shared" si="5"/>
        <v>3446.881166</v>
      </c>
      <c r="I54" s="37"/>
      <c r="J54" s="37"/>
      <c r="K54" s="126"/>
      <c r="U54" s="49"/>
    </row>
    <row r="55" ht="22.5" customHeight="1">
      <c r="A55" s="131">
        <v>45716.333333333336</v>
      </c>
      <c r="B55" s="93" t="s">
        <v>103</v>
      </c>
      <c r="C55" s="93" t="s">
        <v>108</v>
      </c>
      <c r="D55" s="132" t="s">
        <v>61</v>
      </c>
      <c r="E55" s="22">
        <v>1.0</v>
      </c>
      <c r="F55" s="22">
        <v>121.74</v>
      </c>
      <c r="G55" s="41">
        <f t="shared" si="4"/>
        <v>121.74</v>
      </c>
      <c r="H55" s="68">
        <f t="shared" si="5"/>
        <v>3996.412506</v>
      </c>
      <c r="I55" s="37"/>
      <c r="J55" s="37"/>
      <c r="K55" s="126"/>
      <c r="U55" s="49"/>
    </row>
    <row r="56" ht="22.5" customHeight="1">
      <c r="A56" s="131">
        <v>45716.93751157408</v>
      </c>
      <c r="B56" s="93" t="s">
        <v>103</v>
      </c>
      <c r="C56" s="93" t="s">
        <v>108</v>
      </c>
      <c r="D56" s="132" t="s">
        <v>55</v>
      </c>
      <c r="E56" s="22">
        <v>2.0</v>
      </c>
      <c r="F56" s="22">
        <v>279.24</v>
      </c>
      <c r="G56" s="41">
        <f t="shared" si="4"/>
        <v>558.48</v>
      </c>
      <c r="H56" s="68">
        <f t="shared" si="5"/>
        <v>18333.46851</v>
      </c>
      <c r="I56" s="37"/>
      <c r="J56" s="37"/>
      <c r="K56" s="126"/>
      <c r="U56" s="49"/>
    </row>
    <row r="57" ht="22.5" customHeight="1">
      <c r="A57" s="131">
        <v>45719.960023148145</v>
      </c>
      <c r="B57" s="93" t="s">
        <v>103</v>
      </c>
      <c r="C57" s="93" t="s">
        <v>108</v>
      </c>
      <c r="D57" s="132" t="s">
        <v>58</v>
      </c>
      <c r="E57" s="22">
        <v>0.39549</v>
      </c>
      <c r="F57" s="22">
        <v>505.6975</v>
      </c>
      <c r="G57" s="41">
        <f t="shared" si="4"/>
        <v>199.9983043</v>
      </c>
      <c r="H57" s="68">
        <f t="shared" si="5"/>
        <v>6565.432268</v>
      </c>
      <c r="I57" s="37"/>
      <c r="J57" s="37"/>
      <c r="K57" s="126"/>
      <c r="U57" s="49"/>
    </row>
    <row r="58" ht="22.5" customHeight="1">
      <c r="A58" s="131">
        <v>45719.0</v>
      </c>
      <c r="B58" s="93" t="s">
        <v>103</v>
      </c>
      <c r="C58" s="93" t="s">
        <v>108</v>
      </c>
      <c r="D58" s="132" t="s">
        <v>61</v>
      </c>
      <c r="E58" s="22">
        <v>1.0</v>
      </c>
      <c r="F58" s="22">
        <v>118.5</v>
      </c>
      <c r="G58" s="41">
        <f t="shared" si="4"/>
        <v>118.5</v>
      </c>
      <c r="H58" s="68">
        <f t="shared" si="5"/>
        <v>3890.051601</v>
      </c>
      <c r="I58" s="37"/>
      <c r="J58" s="37"/>
      <c r="K58" s="126"/>
      <c r="U58" s="49"/>
    </row>
    <row r="59" ht="22.5" customHeight="1">
      <c r="A59" s="131">
        <v>45719.96256944445</v>
      </c>
      <c r="B59" s="93" t="s">
        <v>103</v>
      </c>
      <c r="C59" s="93" t="s">
        <v>108</v>
      </c>
      <c r="D59" s="132" t="s">
        <v>67</v>
      </c>
      <c r="E59" s="22">
        <v>4.77851</v>
      </c>
      <c r="F59" s="22">
        <v>104.635</v>
      </c>
      <c r="G59" s="41">
        <f t="shared" si="4"/>
        <v>499.9993939</v>
      </c>
      <c r="H59" s="68">
        <f t="shared" si="5"/>
        <v>16413.69994</v>
      </c>
      <c r="I59" s="37"/>
      <c r="J59" s="37"/>
      <c r="K59" s="126"/>
      <c r="U59" s="49"/>
    </row>
    <row r="60" ht="22.5" customHeight="1">
      <c r="A60" s="131">
        <v>45720.04350694444</v>
      </c>
      <c r="B60" s="93" t="s">
        <v>103</v>
      </c>
      <c r="C60" s="93" t="s">
        <v>108</v>
      </c>
      <c r="D60" s="132" t="s">
        <v>78</v>
      </c>
      <c r="E60" s="22">
        <v>300.0</v>
      </c>
      <c r="F60" s="22">
        <v>1.7399</v>
      </c>
      <c r="G60" s="41">
        <f t="shared" si="4"/>
        <v>521.97</v>
      </c>
      <c r="H60" s="68">
        <f t="shared" si="5"/>
        <v>17134.93869</v>
      </c>
      <c r="I60" s="37"/>
      <c r="J60" s="37"/>
      <c r="K60" s="126"/>
      <c r="U60" s="49"/>
    </row>
    <row r="61" ht="22.5" customHeight="1">
      <c r="A61" s="131">
        <v>45720.006944444445</v>
      </c>
      <c r="B61" s="93" t="s">
        <v>103</v>
      </c>
      <c r="C61" s="93" t="s">
        <v>108</v>
      </c>
      <c r="D61" s="132" t="s">
        <v>78</v>
      </c>
      <c r="E61" s="22">
        <v>300.0</v>
      </c>
      <c r="F61" s="22">
        <v>1.74</v>
      </c>
      <c r="G61" s="41">
        <f t="shared" si="4"/>
        <v>522</v>
      </c>
      <c r="H61" s="68">
        <f t="shared" si="5"/>
        <v>17135.92351</v>
      </c>
      <c r="I61" s="37"/>
      <c r="J61" s="37"/>
      <c r="K61" s="126"/>
      <c r="U61" s="49"/>
    </row>
    <row r="62" ht="22.5" customHeight="1">
      <c r="A62" s="131">
        <v>45720.125</v>
      </c>
      <c r="B62" s="93" t="s">
        <v>103</v>
      </c>
      <c r="C62" s="93" t="s">
        <v>108</v>
      </c>
      <c r="D62" s="139" t="s">
        <v>61</v>
      </c>
      <c r="E62" s="140">
        <v>1.0</v>
      </c>
      <c r="F62" s="22">
        <v>115.0</v>
      </c>
      <c r="G62" s="41">
        <f t="shared" si="4"/>
        <v>115</v>
      </c>
      <c r="H62" s="68">
        <f t="shared" si="5"/>
        <v>3775.155562</v>
      </c>
      <c r="I62" s="37"/>
      <c r="J62" s="37"/>
      <c r="K62" s="126"/>
      <c r="U62" s="49"/>
    </row>
    <row r="63" ht="22.5" customHeight="1">
      <c r="A63" s="131">
        <v>45720.9375</v>
      </c>
      <c r="B63" s="93" t="s">
        <v>103</v>
      </c>
      <c r="C63" s="93" t="s">
        <v>108</v>
      </c>
      <c r="D63" s="139" t="s">
        <v>75</v>
      </c>
      <c r="E63" s="140">
        <v>2.0</v>
      </c>
      <c r="F63" s="22">
        <v>72.26</v>
      </c>
      <c r="G63" s="41">
        <f t="shared" si="4"/>
        <v>144.52</v>
      </c>
      <c r="H63" s="68">
        <f t="shared" si="5"/>
        <v>4744.221581</v>
      </c>
      <c r="I63" s="37"/>
      <c r="J63" s="37"/>
      <c r="K63" s="126"/>
      <c r="U63" s="49"/>
    </row>
    <row r="64" ht="22.5" customHeight="1">
      <c r="A64" s="131">
        <v>45720.865277777775</v>
      </c>
      <c r="B64" s="141" t="s">
        <v>103</v>
      </c>
      <c r="C64" s="142" t="s">
        <v>108</v>
      </c>
      <c r="D64" s="139" t="s">
        <v>60</v>
      </c>
      <c r="E64" s="140">
        <v>0.56385</v>
      </c>
      <c r="F64" s="22">
        <v>532.0375</v>
      </c>
      <c r="G64" s="41">
        <f t="shared" si="4"/>
        <v>299.9893444</v>
      </c>
      <c r="H64" s="68">
        <f t="shared" si="5"/>
        <v>9847.882105</v>
      </c>
      <c r="I64" s="37"/>
      <c r="J64" s="37"/>
      <c r="K64" s="126"/>
      <c r="U64" s="49"/>
    </row>
    <row r="65" ht="22.5" customHeight="1">
      <c r="A65" s="131">
        <v>45720.990277777775</v>
      </c>
      <c r="B65" s="143" t="s">
        <v>103</v>
      </c>
      <c r="C65" s="144" t="s">
        <v>108</v>
      </c>
      <c r="D65" s="139" t="s">
        <v>55</v>
      </c>
      <c r="E65" s="140">
        <v>0.5</v>
      </c>
      <c r="F65" s="22">
        <v>265.0</v>
      </c>
      <c r="G65" s="41">
        <f t="shared" si="4"/>
        <v>132.5</v>
      </c>
      <c r="H65" s="68">
        <f t="shared" si="5"/>
        <v>4349.635757</v>
      </c>
      <c r="I65" s="37"/>
      <c r="J65" s="37"/>
      <c r="K65" s="126"/>
      <c r="U65" s="49"/>
    </row>
    <row r="66" ht="22.5" customHeight="1">
      <c r="A66" s="131">
        <v>45721.05972222222</v>
      </c>
      <c r="B66" s="145" t="s">
        <v>103</v>
      </c>
      <c r="C66" s="146" t="s">
        <v>108</v>
      </c>
      <c r="D66" s="139" t="s">
        <v>115</v>
      </c>
      <c r="E66" s="140">
        <v>1.0</v>
      </c>
      <c r="F66" s="22">
        <v>223.1699</v>
      </c>
      <c r="G66" s="41">
        <f t="shared" si="4"/>
        <v>223.1699</v>
      </c>
      <c r="H66" s="68">
        <f t="shared" si="5"/>
        <v>7326.096429</v>
      </c>
      <c r="I66" s="37"/>
      <c r="J66" s="37"/>
      <c r="K66" s="126"/>
      <c r="U66" s="49"/>
    </row>
    <row r="67" ht="22.5" customHeight="1">
      <c r="A67" s="131">
        <v>45722.94027777778</v>
      </c>
      <c r="B67" s="145" t="s">
        <v>103</v>
      </c>
      <c r="C67" s="146" t="s">
        <v>108</v>
      </c>
      <c r="D67" s="139" t="s">
        <v>114</v>
      </c>
      <c r="E67" s="140">
        <v>1.0</v>
      </c>
      <c r="F67" s="22">
        <v>345.0</v>
      </c>
      <c r="G67" s="41">
        <f t="shared" si="4"/>
        <v>345</v>
      </c>
      <c r="H67" s="68">
        <f t="shared" si="5"/>
        <v>11325.46669</v>
      </c>
      <c r="I67" s="37"/>
      <c r="J67" s="37"/>
      <c r="K67" s="126"/>
      <c r="U67" s="49"/>
    </row>
    <row r="68" ht="22.5" customHeight="1">
      <c r="A68" s="131">
        <v>45723.066666666666</v>
      </c>
      <c r="B68" s="145" t="s">
        <v>103</v>
      </c>
      <c r="C68" s="146" t="s">
        <v>108</v>
      </c>
      <c r="D68" s="139" t="s">
        <v>58</v>
      </c>
      <c r="E68" s="140">
        <v>1.02053</v>
      </c>
      <c r="F68" s="22">
        <v>489.9275</v>
      </c>
      <c r="G68" s="41">
        <f t="shared" si="4"/>
        <v>499.9857116</v>
      </c>
      <c r="H68" s="68">
        <f t="shared" si="5"/>
        <v>16413.25078</v>
      </c>
      <c r="I68" s="37"/>
      <c r="J68" s="37"/>
      <c r="K68" s="126"/>
      <c r="U68" s="49"/>
    </row>
    <row r="69" ht="22.5" customHeight="1">
      <c r="A69" s="131">
        <v>45723.07361111111</v>
      </c>
      <c r="B69" s="145" t="s">
        <v>103</v>
      </c>
      <c r="C69" s="146" t="s">
        <v>108</v>
      </c>
      <c r="D69" s="139" t="s">
        <v>60</v>
      </c>
      <c r="E69" s="140">
        <v>1.0</v>
      </c>
      <c r="F69" s="22">
        <v>526.0</v>
      </c>
      <c r="G69" s="41">
        <f t="shared" si="4"/>
        <v>526</v>
      </c>
      <c r="H69" s="68">
        <f t="shared" si="5"/>
        <v>17267.23327</v>
      </c>
      <c r="I69" s="37"/>
      <c r="J69" s="37"/>
      <c r="K69" s="126"/>
      <c r="U69" s="49"/>
    </row>
    <row r="70" ht="22.5" customHeight="1">
      <c r="A70" s="131">
        <v>45723.11041666667</v>
      </c>
      <c r="B70" s="145" t="s">
        <v>103</v>
      </c>
      <c r="C70" s="146" t="s">
        <v>108</v>
      </c>
      <c r="D70" s="139" t="s">
        <v>62</v>
      </c>
      <c r="E70" s="140">
        <v>1.0</v>
      </c>
      <c r="F70" s="22">
        <v>157.0</v>
      </c>
      <c r="G70" s="41">
        <f t="shared" si="4"/>
        <v>157</v>
      </c>
      <c r="H70" s="68">
        <f t="shared" si="5"/>
        <v>5153.908029</v>
      </c>
      <c r="I70" s="37"/>
      <c r="J70" s="37"/>
      <c r="K70" s="126"/>
      <c r="U70" s="49"/>
    </row>
    <row r="71" ht="22.5" customHeight="1">
      <c r="A71" s="131">
        <v>45723.11388888889</v>
      </c>
      <c r="B71" s="145" t="s">
        <v>103</v>
      </c>
      <c r="C71" s="146" t="s">
        <v>108</v>
      </c>
      <c r="D71" s="139" t="s">
        <v>61</v>
      </c>
      <c r="E71" s="140">
        <v>3.0</v>
      </c>
      <c r="F71" s="22">
        <v>110.5</v>
      </c>
      <c r="G71" s="41">
        <f t="shared" si="4"/>
        <v>331.5</v>
      </c>
      <c r="H71" s="68">
        <f t="shared" si="5"/>
        <v>10882.29625</v>
      </c>
      <c r="I71" s="37"/>
      <c r="J71" s="37"/>
      <c r="K71" s="126"/>
      <c r="U71" s="49"/>
    </row>
    <row r="72" ht="22.5" customHeight="1">
      <c r="A72" s="131">
        <v>45723.11388888889</v>
      </c>
      <c r="B72" s="145" t="s">
        <v>103</v>
      </c>
      <c r="C72" s="146" t="s">
        <v>108</v>
      </c>
      <c r="D72" s="139" t="s">
        <v>55</v>
      </c>
      <c r="E72" s="140">
        <v>4.0</v>
      </c>
      <c r="F72" s="22">
        <v>260.3</v>
      </c>
      <c r="G72" s="41">
        <f t="shared" si="4"/>
        <v>1041.2</v>
      </c>
      <c r="H72" s="68">
        <f t="shared" si="5"/>
        <v>34179.93019</v>
      </c>
      <c r="I72" s="37"/>
      <c r="J72" s="37"/>
      <c r="K72" s="126"/>
      <c r="U72" s="49"/>
    </row>
    <row r="73" ht="22.5" customHeight="1">
      <c r="A73" s="131">
        <v>45723.97152777778</v>
      </c>
      <c r="B73" s="145" t="s">
        <v>103</v>
      </c>
      <c r="C73" s="146" t="s">
        <v>108</v>
      </c>
      <c r="D73" s="139" t="s">
        <v>63</v>
      </c>
      <c r="E73" s="140">
        <v>0.3</v>
      </c>
      <c r="F73" s="22">
        <v>960.09</v>
      </c>
      <c r="G73" s="41">
        <f t="shared" si="4"/>
        <v>288.027</v>
      </c>
      <c r="H73" s="68">
        <f t="shared" si="5"/>
        <v>9455.188966</v>
      </c>
      <c r="I73" s="37"/>
      <c r="J73" s="37"/>
      <c r="K73" s="126"/>
      <c r="U73" s="49"/>
    </row>
    <row r="74" ht="22.5" customHeight="1">
      <c r="A74" s="131">
        <v>45727.896527777775</v>
      </c>
      <c r="B74" s="145" t="s">
        <v>103</v>
      </c>
      <c r="C74" s="146" t="s">
        <v>108</v>
      </c>
      <c r="D74" s="139" t="s">
        <v>62</v>
      </c>
      <c r="E74" s="140">
        <v>0.87582</v>
      </c>
      <c r="F74" s="22">
        <v>114.1775</v>
      </c>
      <c r="G74" s="41">
        <f t="shared" si="4"/>
        <v>99.99893805</v>
      </c>
      <c r="H74" s="68">
        <f t="shared" si="5"/>
        <v>3282.709106</v>
      </c>
      <c r="I74" s="37"/>
      <c r="J74" s="37"/>
      <c r="K74" s="126"/>
      <c r="U74" s="49"/>
    </row>
    <row r="75" ht="22.5" customHeight="1">
      <c r="A75" s="131">
        <v>45728.90347222222</v>
      </c>
      <c r="B75" s="145" t="s">
        <v>103</v>
      </c>
      <c r="C75" s="146" t="s">
        <v>108</v>
      </c>
      <c r="D75" s="139" t="s">
        <v>62</v>
      </c>
      <c r="E75" s="140">
        <v>2.0</v>
      </c>
      <c r="F75" s="22">
        <v>130.985</v>
      </c>
      <c r="G75" s="41">
        <f t="shared" si="4"/>
        <v>261.97</v>
      </c>
      <c r="H75" s="68">
        <f t="shared" si="5"/>
        <v>8599.804371</v>
      </c>
      <c r="I75" s="37"/>
      <c r="J75" s="37"/>
      <c r="K75" s="126"/>
      <c r="U75" s="49"/>
    </row>
    <row r="76" ht="22.5" customHeight="1">
      <c r="A76" s="131">
        <v>45728.91388888889</v>
      </c>
      <c r="B76" s="145" t="s">
        <v>103</v>
      </c>
      <c r="C76" s="146" t="s">
        <v>108</v>
      </c>
      <c r="D76" s="139" t="s">
        <v>60</v>
      </c>
      <c r="E76" s="140">
        <v>1.0</v>
      </c>
      <c r="F76" s="22">
        <v>514.0</v>
      </c>
      <c r="G76" s="41">
        <f t="shared" si="4"/>
        <v>514</v>
      </c>
      <c r="H76" s="68">
        <f t="shared" si="5"/>
        <v>16873.30399</v>
      </c>
      <c r="I76" s="37"/>
      <c r="J76" s="37"/>
      <c r="K76" s="126"/>
      <c r="U76" s="49"/>
    </row>
    <row r="77" ht="22.5" customHeight="1">
      <c r="A77" s="131">
        <v>45728.91388888889</v>
      </c>
      <c r="B77" s="145" t="s">
        <v>103</v>
      </c>
      <c r="C77" s="146" t="s">
        <v>108</v>
      </c>
      <c r="D77" s="139" t="s">
        <v>58</v>
      </c>
      <c r="E77" s="140">
        <v>1.0</v>
      </c>
      <c r="F77" s="22">
        <v>477.0</v>
      </c>
      <c r="G77" s="41">
        <f t="shared" si="4"/>
        <v>477</v>
      </c>
      <c r="H77" s="68">
        <f t="shared" si="5"/>
        <v>15658.68872</v>
      </c>
      <c r="I77" s="37"/>
      <c r="J77" s="37"/>
      <c r="K77" s="126"/>
      <c r="U77" s="49"/>
    </row>
    <row r="78" ht="22.5" customHeight="1">
      <c r="A78" s="131">
        <v>45729.0</v>
      </c>
      <c r="B78" s="145" t="s">
        <v>103</v>
      </c>
      <c r="C78" s="146" t="s">
        <v>108</v>
      </c>
      <c r="D78" s="139" t="s">
        <v>55</v>
      </c>
      <c r="E78" s="140">
        <v>3.0</v>
      </c>
      <c r="F78" s="22">
        <v>240.0</v>
      </c>
      <c r="G78" s="41">
        <f t="shared" si="4"/>
        <v>720</v>
      </c>
      <c r="H78" s="68">
        <f t="shared" si="5"/>
        <v>23635.75656</v>
      </c>
      <c r="I78" s="37"/>
      <c r="J78" s="37"/>
      <c r="K78" s="126"/>
      <c r="U78" s="49"/>
    </row>
    <row r="79" ht="22.5" customHeight="1">
      <c r="A79" s="131">
        <v>45729.0</v>
      </c>
      <c r="B79" s="145" t="s">
        <v>107</v>
      </c>
      <c r="C79" s="146" t="s">
        <v>108</v>
      </c>
      <c r="D79" s="139" t="s">
        <v>78</v>
      </c>
      <c r="E79" s="140">
        <v>300.0</v>
      </c>
      <c r="F79" s="22">
        <v>2.7501</v>
      </c>
      <c r="G79" s="41">
        <f t="shared" si="4"/>
        <v>825.03</v>
      </c>
      <c r="H79" s="68">
        <f t="shared" si="5"/>
        <v>27083.62255</v>
      </c>
      <c r="I79" s="147">
        <v>522.0</v>
      </c>
      <c r="J79" s="148">
        <f t="shared" ref="J79:J80" si="6">N$10/N$11*I79</f>
        <v>17135.92351</v>
      </c>
      <c r="K79" s="149"/>
      <c r="U79" s="49"/>
    </row>
    <row r="80" ht="22.5" customHeight="1">
      <c r="A80" s="131">
        <v>45729.0</v>
      </c>
      <c r="B80" s="145" t="s">
        <v>107</v>
      </c>
      <c r="C80" s="146" t="s">
        <v>108</v>
      </c>
      <c r="D80" s="139" t="s">
        <v>78</v>
      </c>
      <c r="E80" s="140">
        <v>150.0</v>
      </c>
      <c r="F80" s="22">
        <v>2.8</v>
      </c>
      <c r="G80" s="41">
        <f t="shared" si="4"/>
        <v>420</v>
      </c>
      <c r="H80" s="68">
        <f t="shared" si="5"/>
        <v>13787.52466</v>
      </c>
      <c r="I80" s="150">
        <v>260.99</v>
      </c>
      <c r="J80" s="148">
        <f t="shared" si="6"/>
        <v>8567.63348</v>
      </c>
      <c r="K80" s="149"/>
      <c r="U80" s="49"/>
    </row>
    <row r="81" ht="22.5" customHeight="1">
      <c r="A81" s="131">
        <v>45729.0</v>
      </c>
      <c r="B81" s="145" t="s">
        <v>107</v>
      </c>
      <c r="C81" s="146" t="s">
        <v>13</v>
      </c>
      <c r="D81" s="139" t="s">
        <v>78</v>
      </c>
      <c r="E81" s="140">
        <v>200.0</v>
      </c>
      <c r="F81" s="22">
        <v>2.74</v>
      </c>
      <c r="G81" s="41">
        <f t="shared" si="4"/>
        <v>546.63</v>
      </c>
      <c r="H81" s="68">
        <v>18050.0</v>
      </c>
      <c r="I81" s="22">
        <v>481.2</v>
      </c>
      <c r="J81" s="23">
        <v>15832.0</v>
      </c>
      <c r="K81" s="126"/>
      <c r="U81" s="49"/>
    </row>
    <row r="82" ht="22.5" customHeight="1">
      <c r="A82" s="131">
        <v>45741.0</v>
      </c>
      <c r="B82" s="145" t="s">
        <v>103</v>
      </c>
      <c r="C82" s="146" t="s">
        <v>108</v>
      </c>
      <c r="D82" s="139" t="s">
        <v>116</v>
      </c>
      <c r="E82" s="140">
        <v>0.5</v>
      </c>
      <c r="F82" s="22">
        <v>910.0</v>
      </c>
      <c r="G82" s="41">
        <f t="shared" si="4"/>
        <v>455</v>
      </c>
      <c r="H82" s="68">
        <f t="shared" ref="H82:H98" si="7">N$10/N$11*G82</f>
        <v>14936.48505</v>
      </c>
      <c r="I82" s="22"/>
      <c r="J82" s="20"/>
      <c r="U82" s="49"/>
    </row>
    <row r="83" ht="22.5" customHeight="1">
      <c r="A83" s="131">
        <v>45741.0</v>
      </c>
      <c r="B83" s="145" t="s">
        <v>103</v>
      </c>
      <c r="C83" s="146" t="s">
        <v>108</v>
      </c>
      <c r="D83" s="139" t="s">
        <v>62</v>
      </c>
      <c r="E83" s="140">
        <v>2.0</v>
      </c>
      <c r="F83" s="22">
        <v>110.0</v>
      </c>
      <c r="G83" s="41">
        <f t="shared" si="4"/>
        <v>220</v>
      </c>
      <c r="H83" s="68">
        <f t="shared" si="7"/>
        <v>7222.036728</v>
      </c>
      <c r="I83" s="22"/>
      <c r="J83" s="20"/>
      <c r="U83" s="49"/>
    </row>
    <row r="84" ht="22.5" customHeight="1">
      <c r="A84" s="131">
        <v>45742.0</v>
      </c>
      <c r="B84" s="145" t="s">
        <v>103</v>
      </c>
      <c r="C84" s="146" t="s">
        <v>108</v>
      </c>
      <c r="D84" s="139" t="s">
        <v>67</v>
      </c>
      <c r="E84" s="140">
        <v>5.0</v>
      </c>
      <c r="F84" s="22">
        <v>95.64</v>
      </c>
      <c r="G84" s="41">
        <f t="shared" si="4"/>
        <v>478.2</v>
      </c>
      <c r="H84" s="68">
        <f t="shared" si="7"/>
        <v>15698.08165</v>
      </c>
      <c r="I84" s="22"/>
      <c r="J84" s="20"/>
      <c r="U84" s="49"/>
    </row>
    <row r="85" ht="22.5" customHeight="1">
      <c r="A85" s="131">
        <v>45747.0</v>
      </c>
      <c r="B85" s="145" t="s">
        <v>103</v>
      </c>
      <c r="C85" s="146" t="s">
        <v>108</v>
      </c>
      <c r="D85" s="139" t="s">
        <v>117</v>
      </c>
      <c r="E85" s="140">
        <v>3.0</v>
      </c>
      <c r="F85" s="22">
        <v>287.55</v>
      </c>
      <c r="G85" s="41">
        <f t="shared" si="4"/>
        <v>862.65</v>
      </c>
      <c r="H85" s="68">
        <f t="shared" si="7"/>
        <v>28318.59083</v>
      </c>
      <c r="I85" s="22"/>
      <c r="J85" s="20"/>
      <c r="U85" s="49"/>
    </row>
    <row r="86" ht="22.5" customHeight="1">
      <c r="A86" s="131">
        <v>45749.0</v>
      </c>
      <c r="B86" s="145" t="s">
        <v>103</v>
      </c>
      <c r="C86" s="146" t="s">
        <v>108</v>
      </c>
      <c r="D86" s="139" t="s">
        <v>73</v>
      </c>
      <c r="E86" s="140">
        <v>2.0</v>
      </c>
      <c r="F86" s="22">
        <v>192.37</v>
      </c>
      <c r="G86" s="41">
        <f t="shared" si="4"/>
        <v>384.74</v>
      </c>
      <c r="H86" s="68">
        <f t="shared" si="7"/>
        <v>12630.02914</v>
      </c>
      <c r="I86" s="22"/>
      <c r="J86" s="20"/>
      <c r="U86" s="49"/>
    </row>
    <row r="87" ht="22.5" customHeight="1">
      <c r="A87" s="131">
        <v>45754.0</v>
      </c>
      <c r="B87" s="145" t="s">
        <v>103</v>
      </c>
      <c r="C87" s="146" t="s">
        <v>108</v>
      </c>
      <c r="D87" s="139" t="s">
        <v>57</v>
      </c>
      <c r="E87" s="140">
        <v>15.0</v>
      </c>
      <c r="F87" s="22">
        <v>8.54</v>
      </c>
      <c r="G87" s="41">
        <f t="shared" si="4"/>
        <v>128.1</v>
      </c>
      <c r="H87" s="68">
        <f t="shared" si="7"/>
        <v>4205.195022</v>
      </c>
      <c r="I87" s="22"/>
      <c r="J87" s="20"/>
      <c r="U87" s="49"/>
    </row>
    <row r="88" ht="22.5" customHeight="1">
      <c r="A88" s="131">
        <v>45754.0</v>
      </c>
      <c r="B88" s="145" t="s">
        <v>103</v>
      </c>
      <c r="C88" s="146" t="s">
        <v>108</v>
      </c>
      <c r="D88" s="139" t="s">
        <v>80</v>
      </c>
      <c r="E88" s="140">
        <f>200/20</f>
        <v>10</v>
      </c>
      <c r="F88" s="22">
        <f>5.05*20</f>
        <v>101</v>
      </c>
      <c r="G88" s="41">
        <f t="shared" si="4"/>
        <v>1010</v>
      </c>
      <c r="H88" s="68">
        <f t="shared" si="7"/>
        <v>33155.71407</v>
      </c>
      <c r="I88" s="22"/>
      <c r="J88" s="20"/>
      <c r="U88" s="49"/>
    </row>
    <row r="89" ht="22.5" customHeight="1">
      <c r="A89" s="131">
        <v>45755.0</v>
      </c>
      <c r="B89" s="145" t="s">
        <v>107</v>
      </c>
      <c r="C89" s="146" t="s">
        <v>108</v>
      </c>
      <c r="D89" s="139" t="s">
        <v>80</v>
      </c>
      <c r="E89" s="140">
        <f>100/20</f>
        <v>5</v>
      </c>
      <c r="F89" s="22">
        <f>5.55*20</f>
        <v>111</v>
      </c>
      <c r="G89" s="41">
        <f t="shared" si="4"/>
        <v>555</v>
      </c>
      <c r="H89" s="68">
        <f t="shared" si="7"/>
        <v>18219.22902</v>
      </c>
      <c r="I89" s="22">
        <v>504.5</v>
      </c>
      <c r="J89" s="148">
        <f t="shared" ref="J89:J101" si="8">N$10/N$11*I89</f>
        <v>16561.44331</v>
      </c>
      <c r="K89" s="149"/>
      <c r="U89" s="49"/>
    </row>
    <row r="90" ht="22.5" customHeight="1">
      <c r="A90" s="131">
        <v>45756.0</v>
      </c>
      <c r="B90" s="145" t="s">
        <v>103</v>
      </c>
      <c r="C90" s="146" t="s">
        <v>108</v>
      </c>
      <c r="D90" s="139" t="s">
        <v>57</v>
      </c>
      <c r="E90" s="140">
        <v>65.0</v>
      </c>
      <c r="F90" s="22">
        <v>8.44</v>
      </c>
      <c r="G90" s="41">
        <f t="shared" si="4"/>
        <v>548.6</v>
      </c>
      <c r="H90" s="68">
        <f t="shared" si="7"/>
        <v>18009.1334</v>
      </c>
      <c r="I90" s="22"/>
      <c r="J90" s="151">
        <f t="shared" si="8"/>
        <v>0</v>
      </c>
      <c r="K90" s="149"/>
      <c r="U90" s="49"/>
    </row>
    <row r="91" ht="22.5" customHeight="1">
      <c r="A91" s="131">
        <v>45756.0</v>
      </c>
      <c r="B91" s="145" t="s">
        <v>107</v>
      </c>
      <c r="C91" s="146" t="s">
        <v>108</v>
      </c>
      <c r="D91" s="139" t="s">
        <v>111</v>
      </c>
      <c r="E91" s="140">
        <v>1.0</v>
      </c>
      <c r="F91" s="22">
        <v>515.0</v>
      </c>
      <c r="G91" s="41">
        <f t="shared" si="4"/>
        <v>515</v>
      </c>
      <c r="H91" s="68">
        <f t="shared" si="7"/>
        <v>16906.13143</v>
      </c>
      <c r="I91" s="22">
        <v>482.59</v>
      </c>
      <c r="J91" s="151">
        <f t="shared" si="8"/>
        <v>15842.19411</v>
      </c>
      <c r="K91" s="149"/>
      <c r="U91" s="49"/>
    </row>
    <row r="92" ht="22.5" customHeight="1">
      <c r="A92" s="131">
        <v>45756.0</v>
      </c>
      <c r="B92" s="145" t="s">
        <v>103</v>
      </c>
      <c r="C92" s="146" t="s">
        <v>108</v>
      </c>
      <c r="D92" s="139" t="s">
        <v>57</v>
      </c>
      <c r="E92" s="140">
        <v>55.0</v>
      </c>
      <c r="F92" s="22">
        <v>9.17</v>
      </c>
      <c r="G92" s="41">
        <f t="shared" si="4"/>
        <v>504.35</v>
      </c>
      <c r="H92" s="68">
        <f t="shared" si="7"/>
        <v>16556.5192</v>
      </c>
      <c r="I92" s="22"/>
      <c r="J92" s="151">
        <f t="shared" si="8"/>
        <v>0</v>
      </c>
      <c r="K92" s="149"/>
      <c r="U92" s="49"/>
    </row>
    <row r="93" ht="22.5" customHeight="1">
      <c r="A93" s="131">
        <v>45770.0</v>
      </c>
      <c r="B93" s="145" t="s">
        <v>107</v>
      </c>
      <c r="C93" s="146" t="s">
        <v>108</v>
      </c>
      <c r="D93" s="139" t="s">
        <v>117</v>
      </c>
      <c r="E93" s="140">
        <v>1.0</v>
      </c>
      <c r="F93" s="22">
        <v>302.78</v>
      </c>
      <c r="G93" s="41">
        <f t="shared" si="4"/>
        <v>302.78</v>
      </c>
      <c r="H93" s="68">
        <f t="shared" si="7"/>
        <v>9939.492184</v>
      </c>
      <c r="I93" s="22">
        <v>287.55</v>
      </c>
      <c r="J93" s="151">
        <f t="shared" si="8"/>
        <v>9439.530278</v>
      </c>
      <c r="K93" s="149"/>
      <c r="U93" s="49"/>
    </row>
    <row r="94" ht="22.5" customHeight="1">
      <c r="A94" s="131">
        <v>45778.0</v>
      </c>
      <c r="B94" s="145" t="s">
        <v>107</v>
      </c>
      <c r="C94" s="146" t="s">
        <v>108</v>
      </c>
      <c r="D94" s="139" t="s">
        <v>57</v>
      </c>
      <c r="E94" s="140">
        <v>135.0</v>
      </c>
      <c r="F94" s="22">
        <v>10.79</v>
      </c>
      <c r="G94" s="41">
        <f t="shared" si="4"/>
        <v>1456.65</v>
      </c>
      <c r="H94" s="68">
        <f t="shared" si="7"/>
        <v>47818.09</v>
      </c>
      <c r="I94" s="41">
        <v>1181.0500000000002</v>
      </c>
      <c r="J94" s="151">
        <f t="shared" si="8"/>
        <v>38770.84762</v>
      </c>
      <c r="K94" s="149"/>
      <c r="U94" s="49"/>
    </row>
    <row r="95" ht="22.5" customHeight="1">
      <c r="A95" s="131">
        <v>45779.0</v>
      </c>
      <c r="B95" s="145" t="s">
        <v>107</v>
      </c>
      <c r="C95" s="146" t="s">
        <v>108</v>
      </c>
      <c r="D95" s="139" t="s">
        <v>66</v>
      </c>
      <c r="E95" s="140">
        <v>7.0</v>
      </c>
      <c r="F95" s="22">
        <v>122.01</v>
      </c>
      <c r="G95" s="41">
        <f t="shared" si="4"/>
        <v>854.07</v>
      </c>
      <c r="H95" s="68">
        <f t="shared" si="7"/>
        <v>28036.9314</v>
      </c>
      <c r="I95" s="41">
        <v>657.1995</v>
      </c>
      <c r="J95" s="151">
        <f t="shared" si="8"/>
        <v>21574.17694</v>
      </c>
      <c r="K95" s="149"/>
      <c r="U95" s="49"/>
    </row>
    <row r="96" ht="22.5" customHeight="1">
      <c r="A96" s="131">
        <v>45783.0</v>
      </c>
      <c r="B96" s="145" t="s">
        <v>103</v>
      </c>
      <c r="C96" s="146" t="s">
        <v>108</v>
      </c>
      <c r="D96" s="139" t="s">
        <v>66</v>
      </c>
      <c r="E96" s="140">
        <v>10.0</v>
      </c>
      <c r="F96" s="22">
        <v>111.76</v>
      </c>
      <c r="G96" s="41">
        <f t="shared" si="4"/>
        <v>1117.6</v>
      </c>
      <c r="H96" s="68">
        <f t="shared" si="7"/>
        <v>36687.94658</v>
      </c>
      <c r="I96" s="41"/>
      <c r="J96" s="151">
        <f t="shared" si="8"/>
        <v>0</v>
      </c>
      <c r="K96" s="149"/>
      <c r="U96" s="49"/>
    </row>
    <row r="97" ht="22.5" customHeight="1">
      <c r="A97" s="131">
        <v>45786.0</v>
      </c>
      <c r="B97" s="145" t="s">
        <v>103</v>
      </c>
      <c r="C97" s="146" t="s">
        <v>108</v>
      </c>
      <c r="D97" s="139" t="s">
        <v>57</v>
      </c>
      <c r="E97" s="140">
        <v>100.0</v>
      </c>
      <c r="F97" s="22">
        <v>11.39999</v>
      </c>
      <c r="G97" s="41">
        <f t="shared" si="4"/>
        <v>1139.999</v>
      </c>
      <c r="H97" s="68">
        <f t="shared" si="7"/>
        <v>37423.2484</v>
      </c>
      <c r="I97" s="41"/>
      <c r="J97" s="151">
        <f t="shared" si="8"/>
        <v>0</v>
      </c>
      <c r="K97" s="149"/>
      <c r="N97" s="152"/>
      <c r="O97" s="152"/>
      <c r="P97" s="153"/>
      <c r="U97" s="49"/>
    </row>
    <row r="98" ht="22.5" customHeight="1">
      <c r="A98" s="131">
        <v>45751.0</v>
      </c>
      <c r="B98" s="145" t="s">
        <v>107</v>
      </c>
      <c r="C98" s="146" t="s">
        <v>108</v>
      </c>
      <c r="D98" s="139" t="s">
        <v>118</v>
      </c>
      <c r="E98" s="140">
        <v>1.0</v>
      </c>
      <c r="F98" s="22">
        <v>13.93</v>
      </c>
      <c r="G98" s="41">
        <f t="shared" si="4"/>
        <v>13.93</v>
      </c>
      <c r="H98" s="68">
        <f t="shared" si="7"/>
        <v>457.2862346</v>
      </c>
      <c r="I98" s="154">
        <v>15.5</v>
      </c>
      <c r="J98" s="151">
        <f t="shared" si="8"/>
        <v>508.8253149</v>
      </c>
      <c r="K98" s="149"/>
      <c r="N98" s="152"/>
      <c r="U98" s="49"/>
    </row>
    <row r="99" ht="22.5" customHeight="1">
      <c r="A99" s="131">
        <v>45790.0</v>
      </c>
      <c r="B99" s="145" t="s">
        <v>103</v>
      </c>
      <c r="C99" s="146" t="s">
        <v>13</v>
      </c>
      <c r="D99" s="139" t="s">
        <v>78</v>
      </c>
      <c r="E99" s="140">
        <v>300.0</v>
      </c>
      <c r="F99" s="22">
        <v>1.34</v>
      </c>
      <c r="G99" s="41">
        <f t="shared" si="4"/>
        <v>403.005</v>
      </c>
      <c r="H99" s="68">
        <v>12254.0</v>
      </c>
      <c r="I99" s="154"/>
      <c r="J99" s="151">
        <f t="shared" si="8"/>
        <v>0</v>
      </c>
      <c r="K99" s="149"/>
      <c r="U99" s="49"/>
    </row>
    <row r="100" ht="22.5" customHeight="1">
      <c r="A100" s="131">
        <v>45810.0</v>
      </c>
      <c r="B100" s="145" t="s">
        <v>103</v>
      </c>
      <c r="C100" s="146" t="s">
        <v>108</v>
      </c>
      <c r="D100" s="139" t="s">
        <v>57</v>
      </c>
      <c r="E100" s="140">
        <v>20.0</v>
      </c>
      <c r="F100" s="22">
        <v>15.03</v>
      </c>
      <c r="G100" s="41">
        <f t="shared" si="4"/>
        <v>300.6</v>
      </c>
      <c r="H100" s="68">
        <f t="shared" ref="H100:H107" si="9">N$10/N$11*G100</f>
        <v>9867.928365</v>
      </c>
      <c r="I100" s="154"/>
      <c r="J100" s="151">
        <f t="shared" si="8"/>
        <v>0</v>
      </c>
      <c r="K100" s="149"/>
      <c r="U100" s="49"/>
    </row>
    <row r="101" ht="22.5" customHeight="1">
      <c r="A101" s="131">
        <v>45814.0</v>
      </c>
      <c r="B101" s="145" t="s">
        <v>107</v>
      </c>
      <c r="C101" s="146" t="s">
        <v>108</v>
      </c>
      <c r="D101" s="139" t="s">
        <v>61</v>
      </c>
      <c r="E101" s="140">
        <v>10.0</v>
      </c>
      <c r="F101" s="22">
        <v>141.58</v>
      </c>
      <c r="G101" s="41">
        <f t="shared" si="4"/>
        <v>1415.8</v>
      </c>
      <c r="H101" s="68">
        <f t="shared" si="9"/>
        <v>46477.08909</v>
      </c>
      <c r="I101" s="155">
        <v>1214.7</v>
      </c>
      <c r="J101" s="151">
        <f t="shared" si="8"/>
        <v>39875.49097</v>
      </c>
      <c r="K101" s="149"/>
      <c r="U101" s="49"/>
    </row>
    <row r="102" ht="22.5" customHeight="1">
      <c r="A102" s="131">
        <v>45814.0</v>
      </c>
      <c r="B102" s="145" t="s">
        <v>103</v>
      </c>
      <c r="C102" s="146" t="s">
        <v>108</v>
      </c>
      <c r="D102" s="139" t="s">
        <v>57</v>
      </c>
      <c r="E102" s="140">
        <v>100.0</v>
      </c>
      <c r="F102" s="22">
        <v>11.27</v>
      </c>
      <c r="G102" s="41">
        <f t="shared" si="4"/>
        <v>1127</v>
      </c>
      <c r="H102" s="68">
        <f t="shared" si="9"/>
        <v>36996.52451</v>
      </c>
      <c r="U102" s="49"/>
    </row>
    <row r="103" ht="22.5" customHeight="1">
      <c r="A103" s="131">
        <v>45821.0</v>
      </c>
      <c r="B103" s="145" t="s">
        <v>107</v>
      </c>
      <c r="C103" s="146" t="s">
        <v>108</v>
      </c>
      <c r="D103" s="139" t="s">
        <v>117</v>
      </c>
      <c r="E103" s="140">
        <v>2.0</v>
      </c>
      <c r="F103" s="22">
        <v>317.22</v>
      </c>
      <c r="G103" s="41">
        <f t="shared" si="4"/>
        <v>634.44</v>
      </c>
      <c r="H103" s="68">
        <f t="shared" si="9"/>
        <v>20827.04083</v>
      </c>
      <c r="I103" s="22">
        <v>575.1</v>
      </c>
      <c r="J103" s="11">
        <v>18877.547959413296</v>
      </c>
      <c r="U103" s="49"/>
    </row>
    <row r="104" ht="22.5" customHeight="1">
      <c r="A104" s="131">
        <v>45834.0</v>
      </c>
      <c r="B104" s="145" t="s">
        <v>103</v>
      </c>
      <c r="C104" s="146" t="s">
        <v>108</v>
      </c>
      <c r="D104" s="139" t="s">
        <v>57</v>
      </c>
      <c r="E104" s="140">
        <v>60.0</v>
      </c>
      <c r="F104" s="22">
        <v>12.55</v>
      </c>
      <c r="G104" s="41">
        <f t="shared" si="4"/>
        <v>753</v>
      </c>
      <c r="H104" s="68">
        <f t="shared" si="9"/>
        <v>24719.06207</v>
      </c>
      <c r="I104" s="22"/>
      <c r="J104" s="20"/>
      <c r="U104" s="49"/>
    </row>
    <row r="105" ht="22.5" customHeight="1">
      <c r="A105" s="131">
        <v>45839.0</v>
      </c>
      <c r="B105" s="145" t="s">
        <v>107</v>
      </c>
      <c r="C105" s="146" t="s">
        <v>108</v>
      </c>
      <c r="D105" s="139" t="s">
        <v>112</v>
      </c>
      <c r="E105" s="140">
        <v>70.0</v>
      </c>
      <c r="F105" s="22">
        <v>5.025</v>
      </c>
      <c r="G105" s="41">
        <f t="shared" si="4"/>
        <v>351.75</v>
      </c>
      <c r="H105" s="68">
        <f t="shared" si="9"/>
        <v>11547.0519</v>
      </c>
      <c r="I105" s="41">
        <v>343.0</v>
      </c>
      <c r="J105" s="151">
        <f>N$10/N$11*I105</f>
        <v>11259.81181</v>
      </c>
      <c r="K105" s="149"/>
      <c r="U105" s="49"/>
    </row>
    <row r="106" ht="22.5" customHeight="1">
      <c r="A106" s="131">
        <v>45839.0</v>
      </c>
      <c r="B106" s="145" t="s">
        <v>103</v>
      </c>
      <c r="C106" s="146" t="s">
        <v>108</v>
      </c>
      <c r="D106" s="139" t="s">
        <v>57</v>
      </c>
      <c r="E106" s="140">
        <v>50.0</v>
      </c>
      <c r="F106" s="22">
        <v>10.085</v>
      </c>
      <c r="G106" s="41">
        <f t="shared" si="4"/>
        <v>504.25</v>
      </c>
      <c r="H106" s="68">
        <f t="shared" si="9"/>
        <v>16553.23645</v>
      </c>
      <c r="I106" s="22"/>
      <c r="J106" s="20"/>
      <c r="U106" s="49"/>
    </row>
    <row r="107" ht="22.5" customHeight="1">
      <c r="A107" s="131">
        <v>45856.0</v>
      </c>
      <c r="B107" s="145" t="s">
        <v>107</v>
      </c>
      <c r="C107" s="146" t="s">
        <v>108</v>
      </c>
      <c r="D107" s="139" t="s">
        <v>110</v>
      </c>
      <c r="E107" s="140">
        <v>5.0</v>
      </c>
      <c r="F107" s="22">
        <v>23.38</v>
      </c>
      <c r="G107" s="41">
        <f t="shared" si="4"/>
        <v>116.9</v>
      </c>
      <c r="H107" s="68">
        <f t="shared" si="9"/>
        <v>3837.527698</v>
      </c>
      <c r="I107" s="41">
        <v>116.44999999999999</v>
      </c>
      <c r="J107" s="151">
        <f t="shared" ref="J107:J120" si="10">N$10/N$11*I107</f>
        <v>3822.75535</v>
      </c>
      <c r="K107" s="149"/>
      <c r="U107" s="49"/>
    </row>
    <row r="108" ht="22.5" customHeight="1">
      <c r="A108" s="131">
        <v>45863.0</v>
      </c>
      <c r="B108" s="145" t="s">
        <v>103</v>
      </c>
      <c r="C108" s="146" t="s">
        <v>13</v>
      </c>
      <c r="D108" s="139" t="s">
        <v>55</v>
      </c>
      <c r="E108" s="140">
        <v>4.0</v>
      </c>
      <c r="F108" s="22">
        <v>315.66</v>
      </c>
      <c r="G108" s="41">
        <f t="shared" si="4"/>
        <v>1265.7966</v>
      </c>
      <c r="H108" s="68">
        <f>37308</f>
        <v>37308</v>
      </c>
      <c r="I108" s="41"/>
      <c r="J108" s="151">
        <f t="shared" si="10"/>
        <v>0</v>
      </c>
      <c r="K108" s="149">
        <f>H108/G108</f>
        <v>29.4739297</v>
      </c>
      <c r="U108" s="49"/>
    </row>
    <row r="109" ht="22.5" customHeight="1">
      <c r="A109" s="131">
        <v>45902.0</v>
      </c>
      <c r="B109" s="145" t="s">
        <v>103</v>
      </c>
      <c r="C109" s="146" t="s">
        <v>108</v>
      </c>
      <c r="D109" s="139" t="s">
        <v>109</v>
      </c>
      <c r="E109" s="140">
        <v>0.37989</v>
      </c>
      <c r="F109" s="22">
        <v>0.0</v>
      </c>
      <c r="G109" s="41">
        <f t="shared" si="4"/>
        <v>0</v>
      </c>
      <c r="H109" s="68">
        <f t="shared" ref="H109:H111" si="11">N$10/N$11*G109</f>
        <v>0</v>
      </c>
      <c r="I109" s="41"/>
      <c r="J109" s="151">
        <f t="shared" si="10"/>
        <v>0</v>
      </c>
      <c r="K109" s="149"/>
      <c r="U109" s="49"/>
    </row>
    <row r="110" ht="22.5" customHeight="1">
      <c r="A110" s="131">
        <v>45903.0</v>
      </c>
      <c r="B110" s="145" t="s">
        <v>107</v>
      </c>
      <c r="C110" s="146" t="s">
        <v>108</v>
      </c>
      <c r="D110" s="139" t="s">
        <v>109</v>
      </c>
      <c r="E110" s="140">
        <v>19.38294</v>
      </c>
      <c r="F110" s="22">
        <v>57.96</v>
      </c>
      <c r="G110" s="41">
        <f t="shared" si="4"/>
        <v>1123.435202</v>
      </c>
      <c r="H110" s="68">
        <f t="shared" si="11"/>
        <v>36879.50133</v>
      </c>
      <c r="I110" s="154">
        <v>1036.96</v>
      </c>
      <c r="J110" s="151">
        <f t="shared" si="10"/>
        <v>34040.74184</v>
      </c>
      <c r="K110" s="149"/>
      <c r="U110" s="49"/>
    </row>
    <row r="111" ht="22.5" customHeight="1">
      <c r="A111" s="131">
        <v>45903.0</v>
      </c>
      <c r="B111" s="145" t="s">
        <v>103</v>
      </c>
      <c r="C111" s="146" t="s">
        <v>108</v>
      </c>
      <c r="D111" s="139" t="s">
        <v>61</v>
      </c>
      <c r="E111" s="140">
        <v>7.0</v>
      </c>
      <c r="F111" s="22">
        <v>167.675</v>
      </c>
      <c r="G111" s="41">
        <f t="shared" si="4"/>
        <v>1173.725</v>
      </c>
      <c r="H111" s="68">
        <f t="shared" si="11"/>
        <v>38530.38663</v>
      </c>
      <c r="I111" s="41"/>
      <c r="J111" s="151">
        <f t="shared" si="10"/>
        <v>0</v>
      </c>
      <c r="K111" s="149"/>
      <c r="U111" s="49"/>
    </row>
    <row r="112" ht="22.5" customHeight="1">
      <c r="A112" s="131">
        <v>45930.0</v>
      </c>
      <c r="B112" s="145" t="s">
        <v>103</v>
      </c>
      <c r="C112" s="146" t="s">
        <v>13</v>
      </c>
      <c r="D112" s="139" t="s">
        <v>72</v>
      </c>
      <c r="E112" s="140">
        <v>4.0</v>
      </c>
      <c r="F112" s="22">
        <v>254.2</v>
      </c>
      <c r="G112" s="41">
        <f t="shared" si="4"/>
        <v>1019.342</v>
      </c>
      <c r="H112" s="68">
        <v>31090.0</v>
      </c>
      <c r="I112" s="41"/>
      <c r="J112" s="151">
        <f t="shared" si="10"/>
        <v>0</v>
      </c>
      <c r="K112" s="149">
        <f>H112/G112</f>
        <v>30.50006769</v>
      </c>
      <c r="U112" s="49"/>
    </row>
    <row r="113" ht="22.5" customHeight="1">
      <c r="A113" s="131">
        <v>45937.0</v>
      </c>
      <c r="B113" s="145" t="s">
        <v>107</v>
      </c>
      <c r="C113" s="146" t="s">
        <v>108</v>
      </c>
      <c r="D113" s="139" t="s">
        <v>114</v>
      </c>
      <c r="E113" s="140">
        <v>1.10253</v>
      </c>
      <c r="F113" s="156">
        <v>350.64</v>
      </c>
      <c r="G113" s="41">
        <f t="shared" si="4"/>
        <v>386.5911192</v>
      </c>
      <c r="H113" s="68">
        <f t="shared" ref="H113:H120" si="12">N$10/N$11*G113</f>
        <v>12690.79664</v>
      </c>
      <c r="I113" s="41">
        <v>380.0135</v>
      </c>
      <c r="J113" s="151">
        <f t="shared" si="10"/>
        <v>12474.87025</v>
      </c>
      <c r="K113" s="149"/>
      <c r="U113" s="49"/>
    </row>
    <row r="114" ht="22.5" customHeight="1">
      <c r="A114" s="131">
        <v>45937.0</v>
      </c>
      <c r="B114" s="145" t="s">
        <v>103</v>
      </c>
      <c r="C114" s="146" t="s">
        <v>108</v>
      </c>
      <c r="D114" s="139" t="s">
        <v>114</v>
      </c>
      <c r="E114" s="140">
        <v>0.00253</v>
      </c>
      <c r="F114" s="157">
        <v>0.0</v>
      </c>
      <c r="G114" s="41">
        <f t="shared" si="4"/>
        <v>0</v>
      </c>
      <c r="H114" s="68">
        <f t="shared" si="12"/>
        <v>0</v>
      </c>
      <c r="I114" s="41"/>
      <c r="J114" s="151">
        <f t="shared" si="10"/>
        <v>0</v>
      </c>
      <c r="K114" s="149"/>
      <c r="U114" s="49"/>
    </row>
    <row r="115" ht="22.5" customHeight="1">
      <c r="A115" s="131">
        <v>45937.0</v>
      </c>
      <c r="B115" s="145" t="s">
        <v>103</v>
      </c>
      <c r="C115" s="146" t="s">
        <v>108</v>
      </c>
      <c r="D115" s="139" t="s">
        <v>115</v>
      </c>
      <c r="E115" s="140">
        <v>0.00218</v>
      </c>
      <c r="F115" s="157">
        <v>0.0</v>
      </c>
      <c r="G115" s="41">
        <f t="shared" si="4"/>
        <v>0</v>
      </c>
      <c r="H115" s="68">
        <f t="shared" si="12"/>
        <v>0</v>
      </c>
      <c r="I115" s="41"/>
      <c r="J115" s="151">
        <f t="shared" si="10"/>
        <v>0</v>
      </c>
      <c r="K115" s="149"/>
      <c r="U115" s="49"/>
    </row>
    <row r="116" ht="22.5" customHeight="1">
      <c r="A116" s="131">
        <v>45937.0</v>
      </c>
      <c r="B116" s="145" t="s">
        <v>107</v>
      </c>
      <c r="C116" s="146" t="s">
        <v>108</v>
      </c>
      <c r="D116" s="139" t="s">
        <v>115</v>
      </c>
      <c r="E116" s="140">
        <v>1.00218</v>
      </c>
      <c r="F116" s="158">
        <v>276.4501</v>
      </c>
      <c r="G116" s="41">
        <f t="shared" si="4"/>
        <v>277.0527612</v>
      </c>
      <c r="H116" s="68">
        <f t="shared" si="12"/>
        <v>9094.932805</v>
      </c>
      <c r="I116" s="41">
        <v>223.1699</v>
      </c>
      <c r="J116" s="151">
        <f t="shared" si="10"/>
        <v>7326.096429</v>
      </c>
      <c r="K116" s="149"/>
      <c r="U116" s="49"/>
    </row>
    <row r="117" ht="22.5" customHeight="1">
      <c r="A117" s="131">
        <v>45937.0</v>
      </c>
      <c r="B117" s="145" t="s">
        <v>103</v>
      </c>
      <c r="C117" s="146" t="s">
        <v>108</v>
      </c>
      <c r="D117" s="139" t="s">
        <v>74</v>
      </c>
      <c r="E117" s="140">
        <v>1.0</v>
      </c>
      <c r="F117" s="159">
        <v>712.75</v>
      </c>
      <c r="G117" s="41">
        <f t="shared" si="4"/>
        <v>712.75</v>
      </c>
      <c r="H117" s="68">
        <f t="shared" si="12"/>
        <v>23397.75763</v>
      </c>
      <c r="I117" s="41"/>
      <c r="J117" s="151">
        <f t="shared" si="10"/>
        <v>0</v>
      </c>
      <c r="K117" s="149"/>
      <c r="U117" s="49"/>
    </row>
    <row r="118" ht="22.5" customHeight="1">
      <c r="A118" s="131">
        <v>45938.0</v>
      </c>
      <c r="B118" s="145" t="s">
        <v>107</v>
      </c>
      <c r="C118" s="146" t="s">
        <v>108</v>
      </c>
      <c r="D118" s="139" t="s">
        <v>67</v>
      </c>
      <c r="E118" s="158">
        <v>8.38758</v>
      </c>
      <c r="F118" s="159">
        <v>139.84</v>
      </c>
      <c r="G118" s="41">
        <f t="shared" si="4"/>
        <v>1172.919187</v>
      </c>
      <c r="H118" s="68">
        <f t="shared" si="12"/>
        <v>38503.93386</v>
      </c>
      <c r="I118" s="154">
        <v>976.57</v>
      </c>
      <c r="J118" s="151">
        <f t="shared" si="10"/>
        <v>32058.29276</v>
      </c>
      <c r="K118" s="149"/>
      <c r="U118" s="49"/>
    </row>
    <row r="119" ht="22.5" customHeight="1">
      <c r="A119" s="131">
        <v>45938.0</v>
      </c>
      <c r="B119" s="145" t="s">
        <v>103</v>
      </c>
      <c r="C119" s="146" t="s">
        <v>108</v>
      </c>
      <c r="D119" s="139" t="s">
        <v>67</v>
      </c>
      <c r="E119" s="160">
        <v>0.020220000000000127</v>
      </c>
      <c r="F119" s="159">
        <v>0.0</v>
      </c>
      <c r="G119" s="41">
        <f t="shared" si="4"/>
        <v>0</v>
      </c>
      <c r="H119" s="68">
        <f t="shared" si="12"/>
        <v>0</v>
      </c>
      <c r="I119" s="41"/>
      <c r="J119" s="151">
        <f t="shared" si="10"/>
        <v>0</v>
      </c>
      <c r="K119" s="149"/>
      <c r="U119" s="49"/>
    </row>
    <row r="120" ht="22.5" customHeight="1">
      <c r="A120" s="131">
        <v>45938.0</v>
      </c>
      <c r="B120" s="145" t="s">
        <v>103</v>
      </c>
      <c r="C120" s="146" t="s">
        <v>108</v>
      </c>
      <c r="D120" s="139" t="s">
        <v>71</v>
      </c>
      <c r="E120" s="161">
        <v>4.0</v>
      </c>
      <c r="F120" s="159">
        <v>286.49</v>
      </c>
      <c r="G120" s="41">
        <f t="shared" si="4"/>
        <v>1145.96</v>
      </c>
      <c r="H120" s="68">
        <f t="shared" si="12"/>
        <v>37618.93277</v>
      </c>
      <c r="I120" s="41"/>
      <c r="J120" s="151">
        <f t="shared" si="10"/>
        <v>0</v>
      </c>
      <c r="K120" s="149"/>
      <c r="U120" s="49"/>
    </row>
    <row r="121" ht="22.5" customHeight="1">
      <c r="A121" s="131">
        <v>45945.0</v>
      </c>
      <c r="B121" s="145" t="s">
        <v>107</v>
      </c>
      <c r="C121" s="146" t="s">
        <v>13</v>
      </c>
      <c r="D121" s="139" t="s">
        <v>55</v>
      </c>
      <c r="E121" s="161">
        <v>4.0</v>
      </c>
      <c r="F121" s="159">
        <v>431.7</v>
      </c>
      <c r="G121" s="41">
        <f t="shared" si="4"/>
        <v>1722.483</v>
      </c>
      <c r="H121" s="68">
        <v>52701.0</v>
      </c>
      <c r="I121" s="41">
        <v>1265.7966000000001</v>
      </c>
      <c r="J121" s="68">
        <f>37308</f>
        <v>37308</v>
      </c>
      <c r="K121" s="149">
        <f>H121/G121</f>
        <v>30.59594783</v>
      </c>
      <c r="U121" s="49"/>
    </row>
    <row r="122" ht="22.5" customHeight="1">
      <c r="A122" s="131">
        <v>45979.0</v>
      </c>
      <c r="B122" s="145" t="s">
        <v>107</v>
      </c>
      <c r="C122" s="146" t="s">
        <v>108</v>
      </c>
      <c r="D122" s="139" t="s">
        <v>57</v>
      </c>
      <c r="E122" s="161">
        <v>132.0</v>
      </c>
      <c r="F122" s="159">
        <v>17.0</v>
      </c>
      <c r="G122" s="41">
        <f t="shared" si="4"/>
        <v>2244</v>
      </c>
      <c r="H122" s="68">
        <f t="shared" ref="H122:H123" si="13">N$10/N$11*G122</f>
        <v>73664.77462</v>
      </c>
      <c r="I122" s="154">
        <v>1575.83</v>
      </c>
      <c r="J122" s="151">
        <f t="shared" ref="J122:J123" si="14">N$10/N$11*I122</f>
        <v>51730.46426</v>
      </c>
      <c r="K122" s="149"/>
      <c r="U122" s="49"/>
    </row>
    <row r="123" ht="22.5" customHeight="1">
      <c r="A123" s="131">
        <v>45979.0</v>
      </c>
      <c r="B123" s="145" t="s">
        <v>107</v>
      </c>
      <c r="C123" s="146" t="s">
        <v>108</v>
      </c>
      <c r="D123" s="139" t="s">
        <v>57</v>
      </c>
      <c r="E123" s="161">
        <v>100.0</v>
      </c>
      <c r="F123" s="159">
        <v>17.505</v>
      </c>
      <c r="G123" s="41">
        <f t="shared" si="4"/>
        <v>1750.5</v>
      </c>
      <c r="H123" s="68">
        <f t="shared" si="13"/>
        <v>57464.43315</v>
      </c>
      <c r="I123" s="154">
        <v>1142.35</v>
      </c>
      <c r="J123" s="151">
        <f t="shared" si="14"/>
        <v>37500.42571</v>
      </c>
      <c r="U123" s="49"/>
    </row>
    <row r="124">
      <c r="A124" s="48"/>
      <c r="B124" s="116"/>
      <c r="C124" s="116"/>
      <c r="D124" s="116"/>
      <c r="G124" s="107"/>
      <c r="H124" s="49"/>
      <c r="U124" s="49"/>
    </row>
    <row r="125">
      <c r="A125" s="48"/>
      <c r="B125" s="116"/>
      <c r="C125" s="116"/>
      <c r="D125" s="116"/>
      <c r="G125" s="107"/>
      <c r="H125" s="49"/>
      <c r="U125" s="49"/>
    </row>
    <row r="126">
      <c r="A126" s="48"/>
      <c r="B126" s="116"/>
      <c r="C126" s="116"/>
      <c r="D126" s="116"/>
      <c r="G126" s="107"/>
      <c r="H126" s="49"/>
      <c r="U126" s="49"/>
    </row>
    <row r="127">
      <c r="A127" s="48"/>
      <c r="B127" s="116"/>
      <c r="C127" s="116"/>
      <c r="D127" s="116"/>
      <c r="G127" s="107"/>
      <c r="H127" s="49"/>
      <c r="U127" s="49"/>
    </row>
    <row r="128">
      <c r="A128" s="48"/>
      <c r="B128" s="116"/>
      <c r="C128" s="116"/>
      <c r="D128" s="116"/>
      <c r="G128" s="107"/>
      <c r="H128" s="49"/>
      <c r="U128" s="49"/>
    </row>
    <row r="129">
      <c r="A129" s="48"/>
      <c r="B129" s="116"/>
      <c r="C129" s="116"/>
      <c r="D129" s="116"/>
      <c r="G129" s="107"/>
      <c r="H129" s="49"/>
      <c r="U129" s="49"/>
    </row>
    <row r="130">
      <c r="A130" s="48"/>
      <c r="B130" s="116"/>
      <c r="C130" s="116"/>
      <c r="D130" s="116"/>
      <c r="G130" s="107"/>
      <c r="H130" s="49"/>
      <c r="U130" s="49"/>
    </row>
    <row r="131">
      <c r="A131" s="48"/>
      <c r="B131" s="116"/>
      <c r="C131" s="116"/>
      <c r="D131" s="116"/>
      <c r="G131" s="107"/>
      <c r="H131" s="49"/>
      <c r="U131" s="49"/>
    </row>
    <row r="132">
      <c r="A132" s="48"/>
      <c r="B132" s="116"/>
      <c r="C132" s="116"/>
      <c r="D132" s="116"/>
      <c r="G132" s="107"/>
      <c r="H132" s="49"/>
      <c r="U132" s="49"/>
    </row>
    <row r="133">
      <c r="A133" s="48"/>
      <c r="B133" s="116"/>
      <c r="C133" s="116"/>
      <c r="D133" s="116"/>
      <c r="G133" s="107"/>
      <c r="H133" s="49"/>
      <c r="U133" s="49"/>
    </row>
    <row r="134">
      <c r="A134" s="48"/>
      <c r="B134" s="116"/>
      <c r="C134" s="116"/>
      <c r="D134" s="116"/>
      <c r="G134" s="107"/>
      <c r="H134" s="49"/>
      <c r="U134" s="49"/>
    </row>
    <row r="135">
      <c r="A135" s="48"/>
      <c r="B135" s="116"/>
      <c r="C135" s="116"/>
      <c r="D135" s="116"/>
      <c r="G135" s="107"/>
      <c r="H135" s="49"/>
      <c r="U135" s="49"/>
    </row>
    <row r="136">
      <c r="A136" s="48"/>
      <c r="B136" s="116"/>
      <c r="C136" s="116"/>
      <c r="D136" s="116"/>
      <c r="G136" s="107"/>
      <c r="H136" s="49"/>
      <c r="U136" s="49"/>
    </row>
    <row r="137">
      <c r="A137" s="48"/>
      <c r="B137" s="116"/>
      <c r="C137" s="116"/>
      <c r="D137" s="116"/>
      <c r="G137" s="107"/>
      <c r="H137" s="49"/>
      <c r="U137" s="49"/>
    </row>
    <row r="138">
      <c r="A138" s="48"/>
      <c r="B138" s="116"/>
      <c r="C138" s="116"/>
      <c r="D138" s="116"/>
      <c r="G138" s="107"/>
      <c r="H138" s="49"/>
      <c r="U138" s="49"/>
    </row>
    <row r="139">
      <c r="A139" s="48"/>
      <c r="B139" s="116"/>
      <c r="C139" s="116"/>
      <c r="D139" s="116"/>
      <c r="G139" s="107"/>
      <c r="H139" s="49"/>
      <c r="U139" s="49"/>
    </row>
    <row r="140">
      <c r="A140" s="48"/>
      <c r="B140" s="116"/>
      <c r="C140" s="116"/>
      <c r="D140" s="116"/>
      <c r="G140" s="107"/>
      <c r="H140" s="49"/>
      <c r="U140" s="49"/>
    </row>
    <row r="141">
      <c r="A141" s="48"/>
      <c r="B141" s="116"/>
      <c r="C141" s="116"/>
      <c r="D141" s="116"/>
      <c r="G141" s="107"/>
      <c r="H141" s="49"/>
      <c r="U141" s="49"/>
    </row>
    <row r="142">
      <c r="A142" s="48"/>
      <c r="B142" s="116"/>
      <c r="C142" s="116"/>
      <c r="D142" s="116"/>
      <c r="G142" s="107"/>
      <c r="H142" s="49"/>
      <c r="U142" s="49"/>
    </row>
    <row r="143">
      <c r="A143" s="48"/>
      <c r="B143" s="116"/>
      <c r="C143" s="116"/>
      <c r="D143" s="116"/>
      <c r="G143" s="107"/>
      <c r="H143" s="49"/>
      <c r="U143" s="49"/>
    </row>
    <row r="144">
      <c r="A144" s="48"/>
      <c r="B144" s="116"/>
      <c r="C144" s="116"/>
      <c r="D144" s="116"/>
      <c r="G144" s="107"/>
      <c r="H144" s="49"/>
      <c r="U144" s="49"/>
    </row>
    <row r="145">
      <c r="A145" s="48"/>
      <c r="B145" s="116"/>
      <c r="C145" s="116"/>
      <c r="D145" s="116"/>
      <c r="G145" s="107"/>
      <c r="H145" s="49"/>
      <c r="U145" s="49"/>
    </row>
    <row r="146">
      <c r="A146" s="48"/>
      <c r="B146" s="116"/>
      <c r="C146" s="116"/>
      <c r="D146" s="116"/>
      <c r="G146" s="107"/>
      <c r="H146" s="49"/>
      <c r="U146" s="49"/>
    </row>
    <row r="147">
      <c r="A147" s="48"/>
      <c r="B147" s="116"/>
      <c r="C147" s="116"/>
      <c r="D147" s="116"/>
      <c r="G147" s="107"/>
      <c r="H147" s="49"/>
      <c r="U147" s="49"/>
    </row>
    <row r="148">
      <c r="A148" s="48"/>
      <c r="B148" s="116"/>
      <c r="C148" s="116"/>
      <c r="D148" s="116"/>
      <c r="G148" s="107"/>
      <c r="H148" s="49"/>
      <c r="U148" s="49"/>
    </row>
    <row r="149">
      <c r="A149" s="48"/>
      <c r="B149" s="116"/>
      <c r="C149" s="116"/>
      <c r="D149" s="116"/>
      <c r="G149" s="107"/>
      <c r="H149" s="49"/>
      <c r="U149" s="49"/>
    </row>
    <row r="150">
      <c r="A150" s="48"/>
      <c r="B150" s="116"/>
      <c r="C150" s="116"/>
      <c r="D150" s="116"/>
      <c r="G150" s="107"/>
      <c r="H150" s="49"/>
      <c r="U150" s="49"/>
    </row>
    <row r="151">
      <c r="A151" s="48"/>
      <c r="B151" s="116"/>
      <c r="C151" s="116"/>
      <c r="D151" s="116"/>
      <c r="G151" s="107"/>
      <c r="H151" s="49"/>
      <c r="U151" s="49"/>
    </row>
    <row r="152">
      <c r="A152" s="48"/>
      <c r="B152" s="116"/>
      <c r="C152" s="116"/>
      <c r="D152" s="116"/>
      <c r="G152" s="107"/>
      <c r="H152" s="49"/>
      <c r="U152" s="49"/>
    </row>
    <row r="153">
      <c r="A153" s="48"/>
      <c r="B153" s="116"/>
      <c r="C153" s="116"/>
      <c r="D153" s="116"/>
      <c r="G153" s="107"/>
      <c r="H153" s="49"/>
      <c r="U153" s="49"/>
    </row>
    <row r="154">
      <c r="A154" s="48"/>
      <c r="B154" s="116"/>
      <c r="C154" s="116"/>
      <c r="D154" s="116"/>
      <c r="G154" s="107"/>
      <c r="H154" s="49"/>
      <c r="U154" s="49"/>
    </row>
    <row r="155">
      <c r="A155" s="48"/>
      <c r="B155" s="116"/>
      <c r="C155" s="116"/>
      <c r="D155" s="116"/>
      <c r="G155" s="107"/>
      <c r="H155" s="49"/>
      <c r="U155" s="49"/>
    </row>
    <row r="156">
      <c r="A156" s="48"/>
      <c r="B156" s="116"/>
      <c r="C156" s="116"/>
      <c r="D156" s="116"/>
      <c r="G156" s="107"/>
      <c r="H156" s="49"/>
      <c r="U156" s="49"/>
    </row>
    <row r="157">
      <c r="A157" s="48"/>
      <c r="B157" s="116"/>
      <c r="C157" s="116"/>
      <c r="D157" s="116"/>
      <c r="G157" s="107"/>
      <c r="H157" s="49"/>
      <c r="U157" s="49"/>
    </row>
    <row r="158">
      <c r="A158" s="48"/>
      <c r="B158" s="116"/>
      <c r="C158" s="116"/>
      <c r="D158" s="116"/>
      <c r="G158" s="107"/>
      <c r="H158" s="49"/>
      <c r="U158" s="49"/>
    </row>
    <row r="159">
      <c r="A159" s="48"/>
      <c r="B159" s="116"/>
      <c r="C159" s="116"/>
      <c r="D159" s="116"/>
      <c r="G159" s="107"/>
      <c r="H159" s="49"/>
      <c r="U159" s="49"/>
    </row>
    <row r="160">
      <c r="A160" s="48"/>
      <c r="B160" s="116"/>
      <c r="C160" s="116"/>
      <c r="D160" s="116"/>
      <c r="G160" s="107"/>
      <c r="H160" s="49"/>
      <c r="U160" s="49"/>
    </row>
    <row r="161">
      <c r="A161" s="48"/>
      <c r="B161" s="116"/>
      <c r="C161" s="116"/>
      <c r="D161" s="116"/>
      <c r="G161" s="107"/>
      <c r="H161" s="49"/>
      <c r="U161" s="49"/>
    </row>
    <row r="162">
      <c r="A162" s="48"/>
      <c r="B162" s="116"/>
      <c r="C162" s="116"/>
      <c r="D162" s="116"/>
      <c r="G162" s="107"/>
      <c r="H162" s="49"/>
      <c r="U162" s="49"/>
    </row>
    <row r="163">
      <c r="A163" s="48"/>
      <c r="B163" s="116"/>
      <c r="C163" s="116"/>
      <c r="D163" s="116"/>
      <c r="G163" s="107"/>
      <c r="H163" s="49"/>
      <c r="U163" s="49"/>
    </row>
    <row r="164">
      <c r="A164" s="48"/>
      <c r="B164" s="116"/>
      <c r="C164" s="116"/>
      <c r="D164" s="116"/>
      <c r="G164" s="107"/>
      <c r="H164" s="49"/>
      <c r="U164" s="49"/>
    </row>
    <row r="165">
      <c r="A165" s="48"/>
      <c r="B165" s="116"/>
      <c r="C165" s="116"/>
      <c r="D165" s="116"/>
      <c r="G165" s="107"/>
      <c r="H165" s="49"/>
      <c r="U165" s="49"/>
    </row>
    <row r="166">
      <c r="A166" s="48"/>
      <c r="B166" s="116"/>
      <c r="C166" s="116"/>
      <c r="D166" s="116"/>
      <c r="G166" s="107"/>
      <c r="H166" s="49"/>
      <c r="U166" s="49"/>
    </row>
    <row r="167">
      <c r="A167" s="48"/>
      <c r="B167" s="116"/>
      <c r="C167" s="116"/>
      <c r="D167" s="116"/>
      <c r="G167" s="107"/>
      <c r="H167" s="49"/>
      <c r="U167" s="49"/>
    </row>
    <row r="168">
      <c r="A168" s="48"/>
      <c r="B168" s="116"/>
      <c r="C168" s="116"/>
      <c r="D168" s="116"/>
      <c r="G168" s="107"/>
      <c r="H168" s="49"/>
      <c r="U168" s="49"/>
    </row>
    <row r="169">
      <c r="A169" s="48"/>
      <c r="B169" s="116"/>
      <c r="C169" s="116"/>
      <c r="D169" s="116"/>
      <c r="G169" s="107"/>
      <c r="H169" s="49"/>
      <c r="U169" s="49"/>
    </row>
    <row r="170">
      <c r="A170" s="48"/>
      <c r="B170" s="116"/>
      <c r="C170" s="116"/>
      <c r="D170" s="116"/>
      <c r="G170" s="107"/>
      <c r="H170" s="49"/>
      <c r="U170" s="49"/>
    </row>
    <row r="171">
      <c r="A171" s="48"/>
      <c r="B171" s="116"/>
      <c r="C171" s="116"/>
      <c r="D171" s="116"/>
      <c r="G171" s="107"/>
      <c r="H171" s="49"/>
      <c r="U171" s="49"/>
    </row>
    <row r="172">
      <c r="A172" s="48"/>
      <c r="B172" s="116"/>
      <c r="C172" s="116"/>
      <c r="D172" s="116"/>
      <c r="G172" s="107"/>
      <c r="H172" s="49"/>
      <c r="U172" s="49"/>
    </row>
    <row r="173">
      <c r="A173" s="48"/>
      <c r="B173" s="116"/>
      <c r="C173" s="116"/>
      <c r="D173" s="116"/>
      <c r="G173" s="107"/>
      <c r="H173" s="49"/>
      <c r="U173" s="49"/>
    </row>
    <row r="174">
      <c r="A174" s="48"/>
      <c r="B174" s="116"/>
      <c r="C174" s="116"/>
      <c r="D174" s="116"/>
      <c r="G174" s="107"/>
      <c r="H174" s="49"/>
      <c r="U174" s="49"/>
    </row>
    <row r="175">
      <c r="A175" s="48"/>
      <c r="B175" s="116"/>
      <c r="C175" s="116"/>
      <c r="D175" s="116"/>
      <c r="G175" s="107"/>
      <c r="H175" s="49"/>
      <c r="U175" s="49"/>
    </row>
    <row r="176">
      <c r="A176" s="48"/>
      <c r="B176" s="116"/>
      <c r="C176" s="116"/>
      <c r="D176" s="116"/>
      <c r="G176" s="107"/>
      <c r="H176" s="49"/>
      <c r="U176" s="49"/>
    </row>
    <row r="177">
      <c r="A177" s="48"/>
      <c r="B177" s="116"/>
      <c r="C177" s="116"/>
      <c r="D177" s="116"/>
      <c r="G177" s="107"/>
      <c r="H177" s="49"/>
      <c r="U177" s="49"/>
    </row>
    <row r="178">
      <c r="A178" s="48"/>
      <c r="B178" s="116"/>
      <c r="C178" s="116"/>
      <c r="D178" s="116"/>
      <c r="G178" s="107"/>
      <c r="H178" s="49"/>
      <c r="U178" s="49"/>
    </row>
    <row r="179">
      <c r="A179" s="48"/>
      <c r="B179" s="116"/>
      <c r="C179" s="116"/>
      <c r="D179" s="116"/>
      <c r="G179" s="107"/>
      <c r="H179" s="49"/>
      <c r="U179" s="49"/>
    </row>
    <row r="180">
      <c r="A180" s="48"/>
      <c r="B180" s="116"/>
      <c r="C180" s="116"/>
      <c r="D180" s="116"/>
      <c r="G180" s="107"/>
      <c r="H180" s="49"/>
      <c r="U180" s="49"/>
    </row>
    <row r="181">
      <c r="A181" s="48"/>
      <c r="B181" s="116"/>
      <c r="C181" s="116"/>
      <c r="D181" s="116"/>
      <c r="G181" s="107"/>
      <c r="H181" s="49"/>
      <c r="U181" s="49"/>
    </row>
    <row r="182">
      <c r="A182" s="48"/>
      <c r="B182" s="116"/>
      <c r="C182" s="116"/>
      <c r="D182" s="116"/>
      <c r="G182" s="107"/>
      <c r="H182" s="49"/>
      <c r="U182" s="49"/>
    </row>
    <row r="183">
      <c r="A183" s="48"/>
      <c r="B183" s="116"/>
      <c r="C183" s="116"/>
      <c r="D183" s="116"/>
      <c r="G183" s="107"/>
      <c r="H183" s="49"/>
      <c r="U183" s="49"/>
    </row>
    <row r="184">
      <c r="A184" s="48"/>
      <c r="B184" s="116"/>
      <c r="C184" s="116"/>
      <c r="D184" s="116"/>
      <c r="G184" s="107"/>
      <c r="H184" s="49"/>
      <c r="U184" s="49"/>
    </row>
    <row r="185">
      <c r="A185" s="48"/>
      <c r="B185" s="116"/>
      <c r="C185" s="116"/>
      <c r="D185" s="116"/>
      <c r="G185" s="107"/>
      <c r="H185" s="49"/>
      <c r="U185" s="49"/>
    </row>
    <row r="186">
      <c r="A186" s="48"/>
      <c r="B186" s="116"/>
      <c r="C186" s="116"/>
      <c r="D186" s="116"/>
      <c r="G186" s="107"/>
      <c r="H186" s="49"/>
      <c r="U186" s="49"/>
    </row>
    <row r="187">
      <c r="A187" s="48"/>
      <c r="B187" s="116"/>
      <c r="C187" s="116"/>
      <c r="D187" s="116"/>
      <c r="G187" s="107"/>
      <c r="H187" s="49"/>
      <c r="U187" s="49"/>
    </row>
    <row r="188">
      <c r="A188" s="48"/>
      <c r="B188" s="116"/>
      <c r="C188" s="116"/>
      <c r="D188" s="116"/>
      <c r="G188" s="107"/>
      <c r="H188" s="49"/>
      <c r="U188" s="49"/>
    </row>
    <row r="189">
      <c r="A189" s="48"/>
      <c r="B189" s="116"/>
      <c r="C189" s="116"/>
      <c r="D189" s="116"/>
      <c r="G189" s="107"/>
      <c r="H189" s="49"/>
      <c r="U189" s="49"/>
    </row>
    <row r="190">
      <c r="A190" s="48"/>
      <c r="B190" s="116"/>
      <c r="C190" s="116"/>
      <c r="D190" s="116"/>
      <c r="G190" s="107"/>
      <c r="H190" s="49"/>
      <c r="U190" s="49"/>
    </row>
    <row r="191">
      <c r="A191" s="48"/>
      <c r="B191" s="116"/>
      <c r="C191" s="116"/>
      <c r="D191" s="116"/>
      <c r="G191" s="107"/>
      <c r="H191" s="49"/>
      <c r="U191" s="49"/>
    </row>
    <row r="192">
      <c r="A192" s="48"/>
      <c r="B192" s="116"/>
      <c r="C192" s="116"/>
      <c r="D192" s="116"/>
      <c r="G192" s="107"/>
      <c r="H192" s="49"/>
      <c r="U192" s="49"/>
    </row>
    <row r="193">
      <c r="A193" s="48"/>
      <c r="B193" s="116"/>
      <c r="C193" s="116"/>
      <c r="D193" s="116"/>
      <c r="G193" s="107"/>
      <c r="H193" s="49"/>
      <c r="U193" s="49"/>
    </row>
    <row r="194">
      <c r="A194" s="48"/>
      <c r="B194" s="116"/>
      <c r="C194" s="116"/>
      <c r="D194" s="116"/>
      <c r="G194" s="107"/>
      <c r="H194" s="49"/>
      <c r="U194" s="49"/>
    </row>
    <row r="195">
      <c r="A195" s="48"/>
      <c r="B195" s="116"/>
      <c r="C195" s="116"/>
      <c r="D195" s="116"/>
      <c r="G195" s="107"/>
      <c r="H195" s="49"/>
      <c r="U195" s="49"/>
    </row>
    <row r="196">
      <c r="A196" s="48"/>
      <c r="B196" s="116"/>
      <c r="C196" s="116"/>
      <c r="D196" s="116"/>
      <c r="G196" s="107"/>
      <c r="H196" s="49"/>
      <c r="U196" s="49"/>
    </row>
    <row r="197">
      <c r="A197" s="48"/>
      <c r="B197" s="116"/>
      <c r="C197" s="116"/>
      <c r="D197" s="116"/>
      <c r="G197" s="107"/>
      <c r="H197" s="49"/>
      <c r="U197" s="49"/>
    </row>
    <row r="198">
      <c r="A198" s="48"/>
      <c r="B198" s="116"/>
      <c r="C198" s="116"/>
      <c r="D198" s="116"/>
      <c r="G198" s="107"/>
      <c r="H198" s="49"/>
      <c r="U198" s="49"/>
    </row>
    <row r="199">
      <c r="A199" s="48"/>
      <c r="B199" s="116"/>
      <c r="C199" s="116"/>
      <c r="D199" s="116"/>
      <c r="G199" s="107"/>
      <c r="H199" s="49"/>
      <c r="U199" s="49"/>
    </row>
    <row r="200">
      <c r="A200" s="48"/>
      <c r="B200" s="116"/>
      <c r="C200" s="116"/>
      <c r="D200" s="116"/>
      <c r="G200" s="107"/>
      <c r="H200" s="49"/>
      <c r="U200" s="49"/>
    </row>
    <row r="201">
      <c r="A201" s="48"/>
      <c r="B201" s="116"/>
      <c r="C201" s="116"/>
      <c r="D201" s="116"/>
      <c r="G201" s="107"/>
      <c r="H201" s="49"/>
      <c r="U201" s="49"/>
    </row>
    <row r="202">
      <c r="A202" s="48"/>
      <c r="B202" s="116"/>
      <c r="C202" s="116"/>
      <c r="D202" s="116"/>
      <c r="G202" s="107"/>
      <c r="H202" s="49"/>
      <c r="U202" s="49"/>
    </row>
    <row r="203">
      <c r="A203" s="48"/>
      <c r="B203" s="116"/>
      <c r="C203" s="116"/>
      <c r="D203" s="116"/>
      <c r="G203" s="107"/>
      <c r="H203" s="49"/>
      <c r="U203" s="49"/>
    </row>
    <row r="204">
      <c r="A204" s="48"/>
      <c r="B204" s="116"/>
      <c r="C204" s="116"/>
      <c r="D204" s="116"/>
      <c r="G204" s="107"/>
      <c r="H204" s="49"/>
      <c r="U204" s="49"/>
    </row>
    <row r="205">
      <c r="A205" s="48"/>
      <c r="B205" s="116"/>
      <c r="C205" s="116"/>
      <c r="D205" s="116"/>
      <c r="G205" s="107"/>
      <c r="H205" s="49"/>
      <c r="U205" s="49"/>
    </row>
    <row r="206">
      <c r="A206" s="48"/>
      <c r="B206" s="116"/>
      <c r="C206" s="116"/>
      <c r="D206" s="116"/>
      <c r="G206" s="107"/>
      <c r="H206" s="49"/>
      <c r="U206" s="49"/>
    </row>
    <row r="207">
      <c r="A207" s="48"/>
      <c r="B207" s="116"/>
      <c r="C207" s="116"/>
      <c r="D207" s="116"/>
      <c r="G207" s="107"/>
      <c r="H207" s="49"/>
      <c r="U207" s="49"/>
    </row>
    <row r="208">
      <c r="A208" s="48"/>
      <c r="B208" s="116"/>
      <c r="C208" s="116"/>
      <c r="D208" s="116"/>
      <c r="G208" s="107"/>
      <c r="H208" s="49"/>
      <c r="U208" s="49"/>
    </row>
    <row r="209">
      <c r="A209" s="48"/>
      <c r="B209" s="116"/>
      <c r="C209" s="116"/>
      <c r="D209" s="116"/>
      <c r="G209" s="107"/>
      <c r="H209" s="49"/>
      <c r="U209" s="49"/>
    </row>
    <row r="210">
      <c r="A210" s="48"/>
      <c r="B210" s="116"/>
      <c r="C210" s="116"/>
      <c r="D210" s="116"/>
      <c r="G210" s="107"/>
      <c r="H210" s="49"/>
      <c r="U210" s="49"/>
    </row>
    <row r="211">
      <c r="A211" s="48"/>
      <c r="B211" s="116"/>
      <c r="C211" s="116"/>
      <c r="D211" s="116"/>
      <c r="G211" s="107"/>
      <c r="H211" s="49"/>
      <c r="U211" s="49"/>
    </row>
    <row r="212">
      <c r="A212" s="48"/>
      <c r="B212" s="116"/>
      <c r="C212" s="116"/>
      <c r="D212" s="116"/>
      <c r="G212" s="107"/>
      <c r="H212" s="49"/>
      <c r="U212" s="49"/>
    </row>
    <row r="213">
      <c r="A213" s="48"/>
      <c r="B213" s="116"/>
      <c r="C213" s="116"/>
      <c r="D213" s="116"/>
      <c r="G213" s="107"/>
      <c r="H213" s="49"/>
      <c r="U213" s="49"/>
    </row>
    <row r="214">
      <c r="A214" s="48"/>
      <c r="B214" s="116"/>
      <c r="C214" s="116"/>
      <c r="D214" s="116"/>
      <c r="G214" s="107"/>
      <c r="H214" s="49"/>
      <c r="U214" s="49"/>
    </row>
    <row r="215">
      <c r="A215" s="48"/>
      <c r="B215" s="116"/>
      <c r="C215" s="116"/>
      <c r="D215" s="116"/>
      <c r="G215" s="107"/>
      <c r="H215" s="49"/>
      <c r="U215" s="49"/>
    </row>
    <row r="216">
      <c r="A216" s="48"/>
      <c r="B216" s="116"/>
      <c r="C216" s="116"/>
      <c r="D216" s="116"/>
      <c r="G216" s="107"/>
      <c r="H216" s="49"/>
      <c r="U216" s="49"/>
    </row>
    <row r="217">
      <c r="A217" s="48"/>
      <c r="B217" s="116"/>
      <c r="C217" s="116"/>
      <c r="D217" s="116"/>
      <c r="G217" s="107"/>
      <c r="H217" s="49"/>
      <c r="U217" s="49"/>
    </row>
    <row r="218">
      <c r="A218" s="48"/>
      <c r="B218" s="116"/>
      <c r="C218" s="116"/>
      <c r="D218" s="116"/>
      <c r="G218" s="107"/>
      <c r="H218" s="49"/>
      <c r="U218" s="49"/>
    </row>
    <row r="219">
      <c r="A219" s="48"/>
      <c r="B219" s="116"/>
      <c r="C219" s="116"/>
      <c r="D219" s="116"/>
      <c r="G219" s="107"/>
      <c r="H219" s="49"/>
      <c r="U219" s="49"/>
    </row>
    <row r="220">
      <c r="A220" s="48"/>
      <c r="B220" s="116"/>
      <c r="C220" s="116"/>
      <c r="D220" s="116"/>
      <c r="G220" s="107"/>
      <c r="H220" s="49"/>
      <c r="U220" s="49"/>
    </row>
    <row r="221">
      <c r="A221" s="48"/>
      <c r="B221" s="116"/>
      <c r="C221" s="116"/>
      <c r="D221" s="116"/>
      <c r="G221" s="107"/>
      <c r="H221" s="49"/>
      <c r="U221" s="49"/>
    </row>
    <row r="222">
      <c r="A222" s="48"/>
      <c r="B222" s="116"/>
      <c r="C222" s="116"/>
      <c r="D222" s="116"/>
      <c r="G222" s="107"/>
      <c r="H222" s="49"/>
      <c r="U222" s="49"/>
    </row>
    <row r="223">
      <c r="A223" s="48"/>
      <c r="B223" s="116"/>
      <c r="C223" s="116"/>
      <c r="D223" s="116"/>
      <c r="G223" s="107"/>
      <c r="H223" s="49"/>
      <c r="U223" s="49"/>
    </row>
    <row r="224">
      <c r="A224" s="48"/>
      <c r="B224" s="116"/>
      <c r="C224" s="116"/>
      <c r="D224" s="116"/>
      <c r="G224" s="107"/>
      <c r="H224" s="49"/>
      <c r="U224" s="49"/>
    </row>
    <row r="225">
      <c r="A225" s="48"/>
      <c r="B225" s="116"/>
      <c r="C225" s="116"/>
      <c r="D225" s="116"/>
      <c r="G225" s="107"/>
      <c r="H225" s="49"/>
      <c r="U225" s="49"/>
    </row>
    <row r="226">
      <c r="A226" s="48"/>
      <c r="B226" s="116"/>
      <c r="C226" s="116"/>
      <c r="D226" s="116"/>
      <c r="G226" s="107"/>
      <c r="H226" s="49"/>
      <c r="U226" s="49"/>
    </row>
    <row r="227">
      <c r="A227" s="48"/>
      <c r="B227" s="116"/>
      <c r="C227" s="116"/>
      <c r="D227" s="116"/>
      <c r="G227" s="107"/>
      <c r="H227" s="49"/>
      <c r="U227" s="49"/>
    </row>
    <row r="228">
      <c r="A228" s="48"/>
      <c r="B228" s="116"/>
      <c r="C228" s="116"/>
      <c r="D228" s="116"/>
      <c r="G228" s="107"/>
      <c r="H228" s="49"/>
      <c r="U228" s="49"/>
    </row>
    <row r="229">
      <c r="A229" s="48"/>
      <c r="B229" s="116"/>
      <c r="C229" s="116"/>
      <c r="D229" s="116"/>
      <c r="G229" s="107"/>
      <c r="H229" s="49"/>
      <c r="U229" s="49"/>
    </row>
    <row r="230">
      <c r="A230" s="48"/>
      <c r="B230" s="116"/>
      <c r="C230" s="116"/>
      <c r="D230" s="116"/>
      <c r="G230" s="107"/>
      <c r="H230" s="49"/>
      <c r="U230" s="49"/>
    </row>
    <row r="231">
      <c r="A231" s="48"/>
      <c r="B231" s="116"/>
      <c r="C231" s="116"/>
      <c r="D231" s="116"/>
      <c r="G231" s="107"/>
      <c r="H231" s="49"/>
      <c r="U231" s="49"/>
    </row>
    <row r="232">
      <c r="A232" s="48"/>
      <c r="B232" s="116"/>
      <c r="C232" s="116"/>
      <c r="D232" s="116"/>
      <c r="G232" s="107"/>
      <c r="H232" s="49"/>
      <c r="U232" s="49"/>
    </row>
    <row r="233">
      <c r="A233" s="48"/>
      <c r="B233" s="116"/>
      <c r="C233" s="116"/>
      <c r="D233" s="116"/>
      <c r="G233" s="107"/>
      <c r="H233" s="49"/>
      <c r="U233" s="49"/>
    </row>
    <row r="234">
      <c r="A234" s="48"/>
      <c r="B234" s="116"/>
      <c r="C234" s="116"/>
      <c r="D234" s="116"/>
      <c r="G234" s="107"/>
      <c r="H234" s="49"/>
      <c r="U234" s="49"/>
    </row>
    <row r="235">
      <c r="A235" s="48"/>
      <c r="B235" s="116"/>
      <c r="C235" s="116"/>
      <c r="D235" s="116"/>
      <c r="G235" s="107"/>
      <c r="H235" s="49"/>
      <c r="U235" s="49"/>
    </row>
    <row r="236">
      <c r="A236" s="48"/>
      <c r="B236" s="116"/>
      <c r="C236" s="116"/>
      <c r="D236" s="116"/>
      <c r="G236" s="107"/>
      <c r="H236" s="49"/>
      <c r="U236" s="49"/>
    </row>
    <row r="237">
      <c r="A237" s="48"/>
      <c r="B237" s="116"/>
      <c r="C237" s="116"/>
      <c r="D237" s="116"/>
      <c r="G237" s="107"/>
      <c r="H237" s="49"/>
      <c r="U237" s="49"/>
    </row>
    <row r="238">
      <c r="A238" s="48"/>
      <c r="B238" s="116"/>
      <c r="C238" s="116"/>
      <c r="D238" s="116"/>
      <c r="G238" s="107"/>
      <c r="H238" s="49"/>
      <c r="U238" s="49"/>
    </row>
    <row r="239">
      <c r="A239" s="48"/>
      <c r="B239" s="116"/>
      <c r="C239" s="116"/>
      <c r="D239" s="116"/>
      <c r="G239" s="107"/>
      <c r="H239" s="49"/>
      <c r="U239" s="49"/>
    </row>
    <row r="240">
      <c r="A240" s="48"/>
      <c r="B240" s="116"/>
      <c r="C240" s="116"/>
      <c r="D240" s="116"/>
      <c r="G240" s="107"/>
      <c r="H240" s="49"/>
      <c r="U240" s="49"/>
    </row>
    <row r="241">
      <c r="A241" s="48"/>
      <c r="B241" s="116"/>
      <c r="C241" s="116"/>
      <c r="D241" s="116"/>
      <c r="G241" s="107"/>
      <c r="H241" s="49"/>
      <c r="U241" s="49"/>
    </row>
    <row r="242">
      <c r="A242" s="48"/>
      <c r="B242" s="116"/>
      <c r="C242" s="116"/>
      <c r="D242" s="116"/>
      <c r="G242" s="107"/>
      <c r="H242" s="49"/>
      <c r="U242" s="49"/>
    </row>
    <row r="243">
      <c r="A243" s="48"/>
      <c r="B243" s="116"/>
      <c r="C243" s="116"/>
      <c r="D243" s="116"/>
      <c r="G243" s="107"/>
      <c r="H243" s="49"/>
      <c r="U243" s="49"/>
    </row>
    <row r="244">
      <c r="A244" s="48"/>
      <c r="B244" s="116"/>
      <c r="C244" s="116"/>
      <c r="D244" s="116"/>
      <c r="G244" s="107"/>
      <c r="H244" s="49"/>
      <c r="U244" s="49"/>
    </row>
    <row r="245">
      <c r="A245" s="48"/>
      <c r="B245" s="116"/>
      <c r="C245" s="116"/>
      <c r="D245" s="116"/>
      <c r="G245" s="107"/>
      <c r="H245" s="49"/>
      <c r="U245" s="49"/>
    </row>
    <row r="246">
      <c r="A246" s="48"/>
      <c r="B246" s="116"/>
      <c r="C246" s="116"/>
      <c r="D246" s="116"/>
      <c r="G246" s="107"/>
      <c r="H246" s="49"/>
      <c r="U246" s="49"/>
    </row>
    <row r="247">
      <c r="A247" s="48"/>
      <c r="B247" s="116"/>
      <c r="C247" s="116"/>
      <c r="D247" s="116"/>
      <c r="G247" s="107"/>
      <c r="H247" s="49"/>
      <c r="U247" s="49"/>
    </row>
    <row r="248">
      <c r="A248" s="48"/>
      <c r="B248" s="116"/>
      <c r="C248" s="116"/>
      <c r="D248" s="116"/>
      <c r="G248" s="107"/>
      <c r="H248" s="49"/>
      <c r="U248" s="49"/>
    </row>
    <row r="249">
      <c r="A249" s="48"/>
      <c r="B249" s="116"/>
      <c r="C249" s="116"/>
      <c r="D249" s="116"/>
      <c r="G249" s="107"/>
      <c r="H249" s="49"/>
      <c r="U249" s="49"/>
    </row>
    <row r="250">
      <c r="A250" s="48"/>
      <c r="B250" s="116"/>
      <c r="C250" s="116"/>
      <c r="D250" s="116"/>
      <c r="G250" s="107"/>
      <c r="H250" s="49"/>
      <c r="U250" s="49"/>
    </row>
    <row r="251">
      <c r="A251" s="48"/>
      <c r="B251" s="116"/>
      <c r="C251" s="116"/>
      <c r="D251" s="116"/>
      <c r="G251" s="107"/>
      <c r="H251" s="49"/>
      <c r="U251" s="49"/>
    </row>
    <row r="252">
      <c r="A252" s="48"/>
      <c r="B252" s="116"/>
      <c r="C252" s="116"/>
      <c r="D252" s="116"/>
      <c r="G252" s="107"/>
      <c r="H252" s="49"/>
      <c r="U252" s="49"/>
    </row>
    <row r="253">
      <c r="A253" s="48"/>
      <c r="B253" s="116"/>
      <c r="C253" s="116"/>
      <c r="D253" s="116"/>
      <c r="G253" s="107"/>
      <c r="H253" s="49"/>
      <c r="U253" s="49"/>
    </row>
    <row r="254">
      <c r="A254" s="48"/>
      <c r="B254" s="116"/>
      <c r="C254" s="116"/>
      <c r="D254" s="116"/>
      <c r="G254" s="107"/>
      <c r="H254" s="49"/>
      <c r="U254" s="49"/>
    </row>
    <row r="255">
      <c r="A255" s="48"/>
      <c r="B255" s="116"/>
      <c r="C255" s="116"/>
      <c r="D255" s="116"/>
      <c r="G255" s="107"/>
      <c r="H255" s="49"/>
      <c r="U255" s="49"/>
    </row>
    <row r="256">
      <c r="A256" s="48"/>
      <c r="B256" s="116"/>
      <c r="C256" s="116"/>
      <c r="D256" s="116"/>
      <c r="G256" s="107"/>
      <c r="H256" s="49"/>
      <c r="U256" s="49"/>
    </row>
    <row r="257">
      <c r="A257" s="48"/>
      <c r="B257" s="116"/>
      <c r="C257" s="116"/>
      <c r="D257" s="116"/>
      <c r="G257" s="107"/>
      <c r="H257" s="49"/>
      <c r="U257" s="49"/>
    </row>
    <row r="258">
      <c r="A258" s="48"/>
      <c r="B258" s="116"/>
      <c r="C258" s="116"/>
      <c r="D258" s="116"/>
      <c r="G258" s="107"/>
      <c r="H258" s="49"/>
      <c r="U258" s="49"/>
    </row>
    <row r="259">
      <c r="A259" s="48"/>
      <c r="B259" s="116"/>
      <c r="C259" s="116"/>
      <c r="D259" s="116"/>
      <c r="G259" s="107"/>
      <c r="H259" s="49"/>
      <c r="U259" s="49"/>
    </row>
    <row r="260">
      <c r="A260" s="48"/>
      <c r="B260" s="116"/>
      <c r="C260" s="116"/>
      <c r="D260" s="116"/>
      <c r="G260" s="107"/>
      <c r="H260" s="49"/>
      <c r="U260" s="49"/>
    </row>
    <row r="261">
      <c r="A261" s="48"/>
      <c r="B261" s="116"/>
      <c r="C261" s="116"/>
      <c r="D261" s="116"/>
      <c r="G261" s="107"/>
      <c r="H261" s="49"/>
      <c r="U261" s="49"/>
    </row>
    <row r="262">
      <c r="A262" s="48"/>
      <c r="B262" s="116"/>
      <c r="C262" s="116"/>
      <c r="D262" s="116"/>
      <c r="G262" s="107"/>
      <c r="H262" s="49"/>
      <c r="U262" s="49"/>
    </row>
    <row r="263">
      <c r="A263" s="48"/>
      <c r="B263" s="116"/>
      <c r="C263" s="116"/>
      <c r="D263" s="116"/>
      <c r="G263" s="107"/>
      <c r="H263" s="49"/>
      <c r="U263" s="49"/>
    </row>
    <row r="264">
      <c r="A264" s="48"/>
      <c r="B264" s="116"/>
      <c r="C264" s="116"/>
      <c r="D264" s="116"/>
      <c r="G264" s="107"/>
      <c r="H264" s="49"/>
      <c r="U264" s="49"/>
    </row>
    <row r="265">
      <c r="A265" s="48"/>
      <c r="B265" s="116"/>
      <c r="C265" s="116"/>
      <c r="D265" s="116"/>
      <c r="G265" s="107"/>
      <c r="H265" s="49"/>
      <c r="U265" s="49"/>
    </row>
    <row r="266">
      <c r="A266" s="48"/>
      <c r="B266" s="116"/>
      <c r="C266" s="116"/>
      <c r="D266" s="116"/>
      <c r="G266" s="107"/>
      <c r="H266" s="49"/>
      <c r="U266" s="49"/>
    </row>
    <row r="267">
      <c r="A267" s="48"/>
      <c r="B267" s="116"/>
      <c r="C267" s="116"/>
      <c r="D267" s="116"/>
      <c r="G267" s="107"/>
      <c r="H267" s="49"/>
      <c r="U267" s="49"/>
    </row>
    <row r="268">
      <c r="A268" s="48"/>
      <c r="B268" s="116"/>
      <c r="C268" s="116"/>
      <c r="D268" s="116"/>
      <c r="G268" s="107"/>
      <c r="H268" s="49"/>
      <c r="U268" s="49"/>
    </row>
    <row r="269">
      <c r="A269" s="48"/>
      <c r="B269" s="116"/>
      <c r="C269" s="116"/>
      <c r="D269" s="116"/>
      <c r="G269" s="107"/>
      <c r="H269" s="49"/>
      <c r="U269" s="49"/>
    </row>
    <row r="270">
      <c r="A270" s="48"/>
      <c r="B270" s="116"/>
      <c r="C270" s="116"/>
      <c r="D270" s="116"/>
      <c r="G270" s="107"/>
      <c r="H270" s="49"/>
      <c r="U270" s="49"/>
    </row>
    <row r="271">
      <c r="A271" s="48"/>
      <c r="B271" s="116"/>
      <c r="C271" s="116"/>
      <c r="D271" s="116"/>
      <c r="G271" s="107"/>
      <c r="H271" s="49"/>
      <c r="U271" s="49"/>
    </row>
    <row r="272">
      <c r="A272" s="48"/>
      <c r="B272" s="116"/>
      <c r="C272" s="116"/>
      <c r="D272" s="116"/>
      <c r="G272" s="107"/>
      <c r="H272" s="49"/>
      <c r="U272" s="49"/>
    </row>
    <row r="273">
      <c r="A273" s="48"/>
      <c r="B273" s="116"/>
      <c r="C273" s="116"/>
      <c r="D273" s="116"/>
      <c r="G273" s="107"/>
      <c r="H273" s="49"/>
      <c r="U273" s="49"/>
    </row>
    <row r="274">
      <c r="A274" s="48"/>
      <c r="B274" s="116"/>
      <c r="C274" s="116"/>
      <c r="D274" s="116"/>
      <c r="G274" s="107"/>
      <c r="H274" s="49"/>
      <c r="U274" s="49"/>
    </row>
    <row r="275">
      <c r="A275" s="48"/>
      <c r="B275" s="116"/>
      <c r="C275" s="116"/>
      <c r="D275" s="116"/>
      <c r="G275" s="107"/>
      <c r="H275" s="49"/>
      <c r="U275" s="49"/>
    </row>
    <row r="276">
      <c r="A276" s="48"/>
      <c r="B276" s="116"/>
      <c r="C276" s="116"/>
      <c r="D276" s="116"/>
      <c r="G276" s="107"/>
      <c r="H276" s="49"/>
      <c r="U276" s="49"/>
    </row>
    <row r="277">
      <c r="A277" s="48"/>
      <c r="B277" s="116"/>
      <c r="C277" s="116"/>
      <c r="D277" s="116"/>
      <c r="G277" s="107"/>
      <c r="H277" s="49"/>
      <c r="U277" s="49"/>
    </row>
    <row r="278">
      <c r="A278" s="48"/>
      <c r="B278" s="116"/>
      <c r="C278" s="116"/>
      <c r="D278" s="116"/>
      <c r="G278" s="107"/>
      <c r="H278" s="49"/>
      <c r="U278" s="49"/>
    </row>
    <row r="279">
      <c r="A279" s="48"/>
      <c r="B279" s="116"/>
      <c r="C279" s="116"/>
      <c r="D279" s="116"/>
      <c r="G279" s="107"/>
      <c r="H279" s="49"/>
      <c r="U279" s="49"/>
    </row>
    <row r="280">
      <c r="A280" s="48"/>
      <c r="B280" s="116"/>
      <c r="C280" s="116"/>
      <c r="D280" s="116"/>
      <c r="G280" s="107"/>
      <c r="H280" s="49"/>
      <c r="U280" s="49"/>
    </row>
    <row r="281">
      <c r="A281" s="48"/>
      <c r="B281" s="116"/>
      <c r="C281" s="116"/>
      <c r="D281" s="116"/>
      <c r="G281" s="107"/>
      <c r="H281" s="49"/>
      <c r="U281" s="49"/>
    </row>
    <row r="282">
      <c r="A282" s="48"/>
      <c r="B282" s="116"/>
      <c r="C282" s="116"/>
      <c r="D282" s="116"/>
      <c r="G282" s="107"/>
      <c r="H282" s="49"/>
      <c r="U282" s="49"/>
    </row>
    <row r="283">
      <c r="A283" s="48"/>
      <c r="B283" s="116"/>
      <c r="C283" s="116"/>
      <c r="D283" s="116"/>
      <c r="G283" s="107"/>
      <c r="H283" s="49"/>
      <c r="U283" s="49"/>
    </row>
    <row r="284">
      <c r="A284" s="48"/>
      <c r="B284" s="116"/>
      <c r="C284" s="116"/>
      <c r="D284" s="116"/>
      <c r="G284" s="107"/>
      <c r="H284" s="49"/>
      <c r="U284" s="49"/>
    </row>
    <row r="285">
      <c r="A285" s="48"/>
      <c r="B285" s="116"/>
      <c r="C285" s="116"/>
      <c r="D285" s="116"/>
      <c r="G285" s="107"/>
      <c r="H285" s="49"/>
      <c r="U285" s="49"/>
    </row>
    <row r="286">
      <c r="A286" s="48"/>
      <c r="B286" s="116"/>
      <c r="C286" s="116"/>
      <c r="D286" s="116"/>
      <c r="G286" s="107"/>
      <c r="H286" s="49"/>
      <c r="U286" s="49"/>
    </row>
    <row r="287">
      <c r="A287" s="48"/>
      <c r="B287" s="116"/>
      <c r="C287" s="116"/>
      <c r="D287" s="116"/>
      <c r="G287" s="107"/>
      <c r="H287" s="49"/>
      <c r="U287" s="49"/>
    </row>
    <row r="288">
      <c r="A288" s="48"/>
      <c r="B288" s="116"/>
      <c r="C288" s="116"/>
      <c r="D288" s="116"/>
      <c r="G288" s="107"/>
      <c r="H288" s="49"/>
      <c r="U288" s="49"/>
    </row>
    <row r="289">
      <c r="A289" s="48"/>
      <c r="B289" s="116"/>
      <c r="C289" s="116"/>
      <c r="D289" s="116"/>
      <c r="G289" s="107"/>
      <c r="H289" s="49"/>
      <c r="U289" s="49"/>
    </row>
    <row r="290">
      <c r="A290" s="48"/>
      <c r="B290" s="116"/>
      <c r="C290" s="116"/>
      <c r="D290" s="116"/>
      <c r="G290" s="107"/>
      <c r="H290" s="49"/>
      <c r="U290" s="49"/>
    </row>
    <row r="291">
      <c r="A291" s="48"/>
      <c r="B291" s="116"/>
      <c r="C291" s="116"/>
      <c r="D291" s="116"/>
      <c r="G291" s="107"/>
      <c r="H291" s="49"/>
      <c r="U291" s="49"/>
    </row>
    <row r="292">
      <c r="A292" s="48"/>
      <c r="B292" s="116"/>
      <c r="C292" s="116"/>
      <c r="D292" s="116"/>
      <c r="G292" s="107"/>
      <c r="H292" s="49"/>
      <c r="U292" s="49"/>
    </row>
    <row r="293">
      <c r="A293" s="48"/>
      <c r="B293" s="116"/>
      <c r="C293" s="116"/>
      <c r="D293" s="116"/>
      <c r="G293" s="107"/>
      <c r="H293" s="49"/>
      <c r="U293" s="49"/>
    </row>
    <row r="294">
      <c r="A294" s="48"/>
      <c r="B294" s="116"/>
      <c r="C294" s="116"/>
      <c r="D294" s="116"/>
      <c r="G294" s="107"/>
      <c r="H294" s="49"/>
      <c r="U294" s="49"/>
    </row>
    <row r="295">
      <c r="A295" s="48"/>
      <c r="B295" s="116"/>
      <c r="C295" s="116"/>
      <c r="D295" s="116"/>
      <c r="G295" s="107"/>
      <c r="H295" s="49"/>
      <c r="U295" s="49"/>
    </row>
    <row r="296">
      <c r="A296" s="48"/>
      <c r="B296" s="116"/>
      <c r="C296" s="116"/>
      <c r="D296" s="116"/>
      <c r="G296" s="107"/>
      <c r="H296" s="49"/>
      <c r="U296" s="49"/>
    </row>
    <row r="297">
      <c r="A297" s="48"/>
      <c r="B297" s="116"/>
      <c r="C297" s="116"/>
      <c r="D297" s="116"/>
      <c r="G297" s="107"/>
      <c r="H297" s="49"/>
      <c r="U297" s="49"/>
    </row>
    <row r="298">
      <c r="A298" s="48"/>
      <c r="B298" s="116"/>
      <c r="C298" s="116"/>
      <c r="D298" s="116"/>
      <c r="G298" s="107"/>
      <c r="H298" s="49"/>
      <c r="U298" s="49"/>
    </row>
    <row r="299">
      <c r="A299" s="48"/>
      <c r="B299" s="116"/>
      <c r="C299" s="116"/>
      <c r="D299" s="116"/>
      <c r="G299" s="107"/>
      <c r="H299" s="49"/>
      <c r="U299" s="49"/>
    </row>
    <row r="300">
      <c r="A300" s="48"/>
      <c r="B300" s="116"/>
      <c r="C300" s="116"/>
      <c r="D300" s="116"/>
      <c r="G300" s="107"/>
      <c r="H300" s="49"/>
      <c r="U300" s="49"/>
    </row>
    <row r="301">
      <c r="A301" s="48"/>
      <c r="B301" s="116"/>
      <c r="C301" s="116"/>
      <c r="D301" s="116"/>
      <c r="G301" s="107"/>
      <c r="H301" s="49"/>
      <c r="U301" s="49"/>
    </row>
    <row r="302">
      <c r="A302" s="48"/>
      <c r="B302" s="116"/>
      <c r="C302" s="116"/>
      <c r="D302" s="116"/>
      <c r="G302" s="107"/>
      <c r="H302" s="49"/>
      <c r="U302" s="49"/>
    </row>
    <row r="303">
      <c r="A303" s="48"/>
      <c r="B303" s="116"/>
      <c r="C303" s="116"/>
      <c r="D303" s="116"/>
      <c r="G303" s="107"/>
      <c r="H303" s="49"/>
      <c r="U303" s="49"/>
    </row>
    <row r="304">
      <c r="A304" s="48"/>
      <c r="B304" s="116"/>
      <c r="C304" s="116"/>
      <c r="D304" s="116"/>
      <c r="G304" s="107"/>
      <c r="H304" s="49"/>
      <c r="U304" s="49"/>
    </row>
    <row r="305">
      <c r="A305" s="48"/>
      <c r="B305" s="116"/>
      <c r="C305" s="116"/>
      <c r="D305" s="116"/>
      <c r="G305" s="107"/>
      <c r="H305" s="49"/>
      <c r="U305" s="49"/>
    </row>
    <row r="306">
      <c r="A306" s="48"/>
      <c r="B306" s="116"/>
      <c r="C306" s="116"/>
      <c r="D306" s="116"/>
      <c r="G306" s="107"/>
      <c r="H306" s="49"/>
      <c r="U306" s="49"/>
    </row>
    <row r="307">
      <c r="A307" s="48"/>
      <c r="B307" s="116"/>
      <c r="C307" s="116"/>
      <c r="D307" s="116"/>
      <c r="G307" s="107"/>
      <c r="H307" s="49"/>
      <c r="U307" s="49"/>
    </row>
    <row r="308">
      <c r="A308" s="48"/>
      <c r="B308" s="116"/>
      <c r="C308" s="116"/>
      <c r="D308" s="116"/>
      <c r="G308" s="107"/>
      <c r="H308" s="49"/>
      <c r="U308" s="49"/>
    </row>
    <row r="309">
      <c r="A309" s="48"/>
      <c r="B309" s="116"/>
      <c r="C309" s="116"/>
      <c r="D309" s="116"/>
      <c r="G309" s="107"/>
      <c r="H309" s="49"/>
      <c r="U309" s="49"/>
    </row>
    <row r="310">
      <c r="A310" s="48"/>
      <c r="B310" s="116"/>
      <c r="C310" s="116"/>
      <c r="D310" s="116"/>
      <c r="G310" s="107"/>
      <c r="H310" s="49"/>
      <c r="U310" s="49"/>
    </row>
    <row r="311">
      <c r="A311" s="48"/>
      <c r="B311" s="116"/>
      <c r="C311" s="116"/>
      <c r="D311" s="116"/>
      <c r="G311" s="107"/>
      <c r="H311" s="49"/>
      <c r="U311" s="49"/>
    </row>
    <row r="312">
      <c r="A312" s="48"/>
      <c r="B312" s="116"/>
      <c r="C312" s="116"/>
      <c r="D312" s="116"/>
      <c r="G312" s="107"/>
      <c r="H312" s="49"/>
      <c r="U312" s="49"/>
    </row>
    <row r="313">
      <c r="A313" s="48"/>
      <c r="B313" s="116"/>
      <c r="C313" s="116"/>
      <c r="D313" s="116"/>
      <c r="G313" s="107"/>
      <c r="H313" s="49"/>
      <c r="U313" s="49"/>
    </row>
    <row r="314">
      <c r="A314" s="48"/>
      <c r="B314" s="116"/>
      <c r="C314" s="116"/>
      <c r="D314" s="116"/>
      <c r="G314" s="107"/>
      <c r="H314" s="49"/>
      <c r="U314" s="49"/>
    </row>
    <row r="315">
      <c r="A315" s="48"/>
      <c r="B315" s="116"/>
      <c r="C315" s="116"/>
      <c r="D315" s="116"/>
      <c r="G315" s="107"/>
      <c r="H315" s="49"/>
      <c r="U315" s="49"/>
    </row>
    <row r="316">
      <c r="A316" s="48"/>
      <c r="B316" s="116"/>
      <c r="C316" s="116"/>
      <c r="D316" s="116"/>
      <c r="G316" s="107"/>
      <c r="H316" s="49"/>
      <c r="U316" s="49"/>
    </row>
    <row r="317">
      <c r="A317" s="48"/>
      <c r="B317" s="116"/>
      <c r="C317" s="116"/>
      <c r="D317" s="116"/>
      <c r="G317" s="107"/>
      <c r="H317" s="49"/>
      <c r="U317" s="49"/>
    </row>
    <row r="318">
      <c r="A318" s="48"/>
      <c r="B318" s="116"/>
      <c r="C318" s="116"/>
      <c r="D318" s="116"/>
      <c r="G318" s="107"/>
      <c r="H318" s="49"/>
      <c r="U318" s="49"/>
    </row>
    <row r="319">
      <c r="A319" s="48"/>
      <c r="B319" s="116"/>
      <c r="C319" s="116"/>
      <c r="D319" s="116"/>
      <c r="G319" s="107"/>
      <c r="H319" s="49"/>
      <c r="U319" s="49"/>
    </row>
    <row r="320">
      <c r="A320" s="48"/>
      <c r="B320" s="116"/>
      <c r="C320" s="116"/>
      <c r="D320" s="116"/>
      <c r="G320" s="107"/>
      <c r="H320" s="49"/>
      <c r="U320" s="49"/>
    </row>
    <row r="321">
      <c r="A321" s="48"/>
      <c r="B321" s="116"/>
      <c r="C321" s="116"/>
      <c r="D321" s="116"/>
      <c r="G321" s="107"/>
      <c r="H321" s="49"/>
      <c r="U321" s="49"/>
    </row>
    <row r="322">
      <c r="A322" s="48"/>
      <c r="B322" s="116"/>
      <c r="C322" s="116"/>
      <c r="D322" s="116"/>
      <c r="G322" s="107"/>
      <c r="H322" s="49"/>
      <c r="U322" s="49"/>
    </row>
    <row r="323">
      <c r="A323" s="48"/>
      <c r="B323" s="116"/>
      <c r="C323" s="116"/>
      <c r="D323" s="116"/>
      <c r="G323" s="107"/>
      <c r="H323" s="49"/>
      <c r="U323" s="49"/>
    </row>
    <row r="324">
      <c r="A324" s="48"/>
      <c r="B324" s="116"/>
      <c r="C324" s="116"/>
      <c r="D324" s="116"/>
      <c r="G324" s="107"/>
      <c r="H324" s="49"/>
      <c r="U324" s="49"/>
    </row>
    <row r="325">
      <c r="A325" s="48"/>
      <c r="B325" s="116"/>
      <c r="C325" s="116"/>
      <c r="D325" s="116"/>
      <c r="G325" s="107"/>
      <c r="H325" s="49"/>
      <c r="U325" s="49"/>
    </row>
    <row r="326">
      <c r="A326" s="48"/>
      <c r="B326" s="116"/>
      <c r="C326" s="116"/>
      <c r="D326" s="116"/>
      <c r="G326" s="107"/>
      <c r="H326" s="49"/>
      <c r="U326" s="49"/>
    </row>
    <row r="327">
      <c r="A327" s="48"/>
      <c r="B327" s="116"/>
      <c r="C327" s="116"/>
      <c r="D327" s="116"/>
      <c r="G327" s="107"/>
      <c r="H327" s="49"/>
      <c r="U327" s="49"/>
    </row>
    <row r="328">
      <c r="A328" s="48"/>
      <c r="B328" s="116"/>
      <c r="C328" s="116"/>
      <c r="D328" s="116"/>
      <c r="G328" s="107"/>
      <c r="H328" s="49"/>
      <c r="U328" s="49"/>
    </row>
    <row r="329">
      <c r="A329" s="48"/>
      <c r="B329" s="116"/>
      <c r="C329" s="116"/>
      <c r="D329" s="116"/>
      <c r="G329" s="107"/>
      <c r="H329" s="49"/>
      <c r="U329" s="49"/>
    </row>
    <row r="330">
      <c r="A330" s="48"/>
      <c r="B330" s="116"/>
      <c r="C330" s="116"/>
      <c r="D330" s="116"/>
      <c r="G330" s="107"/>
      <c r="H330" s="49"/>
      <c r="U330" s="49"/>
    </row>
    <row r="331">
      <c r="A331" s="48"/>
      <c r="B331" s="116"/>
      <c r="C331" s="116"/>
      <c r="D331" s="116"/>
      <c r="G331" s="107"/>
      <c r="H331" s="49"/>
      <c r="U331" s="49"/>
    </row>
    <row r="332">
      <c r="A332" s="48"/>
      <c r="B332" s="116"/>
      <c r="C332" s="116"/>
      <c r="D332" s="116"/>
      <c r="G332" s="107"/>
      <c r="H332" s="49"/>
      <c r="U332" s="49"/>
    </row>
    <row r="333">
      <c r="A333" s="48"/>
      <c r="B333" s="116"/>
      <c r="C333" s="116"/>
      <c r="D333" s="116"/>
      <c r="G333" s="107"/>
      <c r="H333" s="49"/>
      <c r="U333" s="49"/>
    </row>
    <row r="334">
      <c r="A334" s="48"/>
      <c r="B334" s="116"/>
      <c r="C334" s="116"/>
      <c r="D334" s="116"/>
      <c r="G334" s="107"/>
      <c r="H334" s="49"/>
      <c r="U334" s="49"/>
    </row>
    <row r="335">
      <c r="A335" s="48"/>
      <c r="B335" s="116"/>
      <c r="C335" s="116"/>
      <c r="D335" s="116"/>
      <c r="G335" s="107"/>
      <c r="H335" s="49"/>
      <c r="U335" s="49"/>
    </row>
    <row r="336">
      <c r="A336" s="48"/>
      <c r="B336" s="116"/>
      <c r="C336" s="116"/>
      <c r="D336" s="116"/>
      <c r="G336" s="107"/>
      <c r="H336" s="49"/>
      <c r="U336" s="49"/>
    </row>
    <row r="337">
      <c r="A337" s="48"/>
      <c r="B337" s="116"/>
      <c r="C337" s="116"/>
      <c r="D337" s="116"/>
      <c r="G337" s="107"/>
      <c r="H337" s="49"/>
      <c r="U337" s="49"/>
    </row>
    <row r="338">
      <c r="A338" s="48"/>
      <c r="B338" s="116"/>
      <c r="C338" s="116"/>
      <c r="D338" s="116"/>
      <c r="G338" s="107"/>
      <c r="H338" s="49"/>
      <c r="U338" s="49"/>
    </row>
    <row r="339">
      <c r="A339" s="48"/>
      <c r="B339" s="116"/>
      <c r="C339" s="116"/>
      <c r="D339" s="116"/>
      <c r="G339" s="107"/>
      <c r="H339" s="49"/>
      <c r="U339" s="49"/>
    </row>
    <row r="340">
      <c r="A340" s="48"/>
      <c r="B340" s="116"/>
      <c r="C340" s="116"/>
      <c r="D340" s="116"/>
      <c r="G340" s="107"/>
      <c r="H340" s="49"/>
      <c r="U340" s="49"/>
    </row>
    <row r="341">
      <c r="A341" s="48"/>
      <c r="B341" s="116"/>
      <c r="C341" s="116"/>
      <c r="D341" s="116"/>
      <c r="G341" s="107"/>
      <c r="H341" s="49"/>
      <c r="U341" s="49"/>
    </row>
    <row r="342">
      <c r="A342" s="48"/>
      <c r="B342" s="116"/>
      <c r="C342" s="116"/>
      <c r="D342" s="116"/>
      <c r="G342" s="107"/>
      <c r="H342" s="49"/>
      <c r="U342" s="49"/>
    </row>
    <row r="343">
      <c r="A343" s="48"/>
      <c r="B343" s="116"/>
      <c r="C343" s="116"/>
      <c r="D343" s="116"/>
      <c r="G343" s="107"/>
      <c r="H343" s="49"/>
      <c r="U343" s="49"/>
    </row>
    <row r="344">
      <c r="A344" s="48"/>
      <c r="B344" s="116"/>
      <c r="C344" s="116"/>
      <c r="D344" s="116"/>
      <c r="G344" s="107"/>
      <c r="H344" s="49"/>
      <c r="U344" s="49"/>
    </row>
    <row r="345">
      <c r="A345" s="48"/>
      <c r="B345" s="116"/>
      <c r="C345" s="116"/>
      <c r="D345" s="116"/>
      <c r="G345" s="107"/>
      <c r="H345" s="49"/>
      <c r="U345" s="49"/>
    </row>
    <row r="346">
      <c r="A346" s="48"/>
      <c r="B346" s="116"/>
      <c r="C346" s="116"/>
      <c r="D346" s="116"/>
      <c r="G346" s="107"/>
      <c r="H346" s="49"/>
      <c r="U346" s="49"/>
    </row>
    <row r="347">
      <c r="A347" s="48"/>
      <c r="B347" s="116"/>
      <c r="C347" s="116"/>
      <c r="D347" s="116"/>
      <c r="G347" s="107"/>
      <c r="H347" s="49"/>
      <c r="U347" s="49"/>
    </row>
    <row r="348">
      <c r="A348" s="48"/>
      <c r="B348" s="116"/>
      <c r="C348" s="116"/>
      <c r="D348" s="116"/>
      <c r="G348" s="107"/>
      <c r="H348" s="49"/>
      <c r="U348" s="49"/>
    </row>
    <row r="349">
      <c r="A349" s="48"/>
      <c r="B349" s="116"/>
      <c r="C349" s="116"/>
      <c r="D349" s="116"/>
      <c r="G349" s="107"/>
      <c r="H349" s="49"/>
      <c r="U349" s="49"/>
    </row>
    <row r="350">
      <c r="A350" s="48"/>
      <c r="B350" s="116"/>
      <c r="C350" s="116"/>
      <c r="D350" s="116"/>
      <c r="G350" s="107"/>
      <c r="H350" s="49"/>
      <c r="U350" s="49"/>
    </row>
    <row r="351">
      <c r="A351" s="48"/>
      <c r="B351" s="116"/>
      <c r="C351" s="116"/>
      <c r="D351" s="116"/>
      <c r="G351" s="107"/>
      <c r="H351" s="49"/>
      <c r="U351" s="49"/>
    </row>
    <row r="352">
      <c r="A352" s="48"/>
      <c r="B352" s="116"/>
      <c r="C352" s="116"/>
      <c r="D352" s="116"/>
      <c r="G352" s="107"/>
      <c r="H352" s="49"/>
      <c r="U352" s="49"/>
    </row>
    <row r="353">
      <c r="A353" s="48"/>
      <c r="B353" s="116"/>
      <c r="C353" s="116"/>
      <c r="D353" s="116"/>
      <c r="G353" s="107"/>
      <c r="H353" s="49"/>
      <c r="U353" s="49"/>
    </row>
    <row r="354">
      <c r="A354" s="48"/>
      <c r="B354" s="116"/>
      <c r="C354" s="116"/>
      <c r="D354" s="116"/>
      <c r="G354" s="107"/>
      <c r="H354" s="49"/>
      <c r="U354" s="49"/>
    </row>
    <row r="355">
      <c r="A355" s="48"/>
      <c r="B355" s="116"/>
      <c r="C355" s="116"/>
      <c r="D355" s="116"/>
      <c r="G355" s="107"/>
      <c r="H355" s="49"/>
      <c r="U355" s="49"/>
    </row>
    <row r="356">
      <c r="A356" s="48"/>
      <c r="B356" s="116"/>
      <c r="C356" s="116"/>
      <c r="D356" s="116"/>
      <c r="G356" s="107"/>
      <c r="H356" s="49"/>
      <c r="U356" s="49"/>
    </row>
    <row r="357">
      <c r="A357" s="48"/>
      <c r="B357" s="116"/>
      <c r="C357" s="116"/>
      <c r="D357" s="116"/>
      <c r="G357" s="107"/>
      <c r="H357" s="49"/>
      <c r="U357" s="49"/>
    </row>
    <row r="358">
      <c r="A358" s="48"/>
      <c r="B358" s="116"/>
      <c r="C358" s="116"/>
      <c r="D358" s="116"/>
      <c r="G358" s="107"/>
      <c r="H358" s="49"/>
      <c r="U358" s="49"/>
    </row>
    <row r="359">
      <c r="A359" s="48"/>
      <c r="B359" s="116"/>
      <c r="C359" s="116"/>
      <c r="D359" s="116"/>
      <c r="G359" s="107"/>
      <c r="H359" s="49"/>
      <c r="U359" s="49"/>
    </row>
    <row r="360">
      <c r="A360" s="48"/>
      <c r="B360" s="116"/>
      <c r="C360" s="116"/>
      <c r="D360" s="116"/>
      <c r="G360" s="107"/>
      <c r="H360" s="49"/>
      <c r="U360" s="49"/>
    </row>
    <row r="361">
      <c r="A361" s="48"/>
      <c r="B361" s="116"/>
      <c r="C361" s="116"/>
      <c r="D361" s="116"/>
      <c r="G361" s="107"/>
      <c r="H361" s="49"/>
      <c r="U361" s="49"/>
    </row>
    <row r="362">
      <c r="A362" s="48"/>
      <c r="B362" s="116"/>
      <c r="C362" s="116"/>
      <c r="D362" s="116"/>
      <c r="G362" s="107"/>
      <c r="H362" s="49"/>
      <c r="U362" s="49"/>
    </row>
    <row r="363">
      <c r="A363" s="48"/>
      <c r="B363" s="116"/>
      <c r="C363" s="116"/>
      <c r="D363" s="116"/>
      <c r="G363" s="107"/>
      <c r="H363" s="49"/>
      <c r="U363" s="49"/>
    </row>
    <row r="364">
      <c r="A364" s="48"/>
      <c r="B364" s="116"/>
      <c r="C364" s="116"/>
      <c r="D364" s="116"/>
      <c r="G364" s="107"/>
      <c r="H364" s="49"/>
      <c r="U364" s="49"/>
    </row>
    <row r="365">
      <c r="A365" s="48"/>
      <c r="B365" s="116"/>
      <c r="C365" s="116"/>
      <c r="D365" s="116"/>
      <c r="G365" s="107"/>
      <c r="H365" s="49"/>
      <c r="U365" s="49"/>
    </row>
    <row r="366">
      <c r="A366" s="48"/>
      <c r="B366" s="116"/>
      <c r="C366" s="116"/>
      <c r="D366" s="116"/>
      <c r="G366" s="107"/>
      <c r="H366" s="49"/>
      <c r="U366" s="49"/>
    </row>
    <row r="367">
      <c r="A367" s="48"/>
      <c r="B367" s="116"/>
      <c r="C367" s="116"/>
      <c r="D367" s="116"/>
      <c r="G367" s="107"/>
      <c r="H367" s="49"/>
      <c r="U367" s="49"/>
    </row>
    <row r="368">
      <c r="A368" s="48"/>
      <c r="B368" s="116"/>
      <c r="C368" s="116"/>
      <c r="D368" s="116"/>
      <c r="G368" s="107"/>
      <c r="H368" s="49"/>
      <c r="U368" s="49"/>
    </row>
    <row r="369">
      <c r="A369" s="48"/>
      <c r="B369" s="116"/>
      <c r="C369" s="116"/>
      <c r="D369" s="116"/>
      <c r="G369" s="107"/>
      <c r="H369" s="49"/>
      <c r="U369" s="49"/>
    </row>
    <row r="370">
      <c r="A370" s="48"/>
      <c r="B370" s="116"/>
      <c r="C370" s="116"/>
      <c r="D370" s="116"/>
      <c r="G370" s="107"/>
      <c r="H370" s="49"/>
      <c r="U370" s="49"/>
    </row>
    <row r="371">
      <c r="A371" s="48"/>
      <c r="B371" s="116"/>
      <c r="C371" s="116"/>
      <c r="D371" s="116"/>
      <c r="G371" s="107"/>
      <c r="H371" s="49"/>
      <c r="U371" s="49"/>
    </row>
    <row r="372">
      <c r="A372" s="48"/>
      <c r="B372" s="116"/>
      <c r="C372" s="116"/>
      <c r="D372" s="116"/>
      <c r="G372" s="107"/>
      <c r="H372" s="49"/>
      <c r="U372" s="49"/>
    </row>
    <row r="373">
      <c r="A373" s="48"/>
      <c r="B373" s="116"/>
      <c r="C373" s="116"/>
      <c r="D373" s="116"/>
      <c r="G373" s="107"/>
      <c r="H373" s="49"/>
      <c r="U373" s="49"/>
    </row>
    <row r="374">
      <c r="A374" s="48"/>
      <c r="B374" s="116"/>
      <c r="C374" s="116"/>
      <c r="D374" s="116"/>
      <c r="G374" s="107"/>
      <c r="H374" s="49"/>
      <c r="U374" s="49"/>
    </row>
    <row r="375">
      <c r="A375" s="48"/>
      <c r="B375" s="116"/>
      <c r="C375" s="116"/>
      <c r="D375" s="116"/>
      <c r="G375" s="107"/>
      <c r="H375" s="49"/>
      <c r="U375" s="49"/>
    </row>
    <row r="376">
      <c r="A376" s="48"/>
      <c r="B376" s="116"/>
      <c r="C376" s="116"/>
      <c r="D376" s="116"/>
      <c r="G376" s="107"/>
      <c r="H376" s="49"/>
      <c r="U376" s="49"/>
    </row>
    <row r="377">
      <c r="A377" s="48"/>
      <c r="B377" s="116"/>
      <c r="C377" s="116"/>
      <c r="D377" s="116"/>
      <c r="G377" s="107"/>
      <c r="H377" s="49"/>
      <c r="U377" s="49"/>
    </row>
    <row r="378">
      <c r="A378" s="48"/>
      <c r="B378" s="116"/>
      <c r="C378" s="116"/>
      <c r="D378" s="116"/>
      <c r="G378" s="107"/>
      <c r="H378" s="49"/>
      <c r="U378" s="49"/>
    </row>
    <row r="379">
      <c r="A379" s="48"/>
      <c r="B379" s="116"/>
      <c r="C379" s="116"/>
      <c r="D379" s="116"/>
      <c r="G379" s="107"/>
      <c r="H379" s="49"/>
      <c r="U379" s="49"/>
    </row>
    <row r="380">
      <c r="A380" s="48"/>
      <c r="B380" s="116"/>
      <c r="C380" s="116"/>
      <c r="D380" s="116"/>
      <c r="G380" s="107"/>
      <c r="H380" s="49"/>
      <c r="U380" s="49"/>
    </row>
    <row r="381">
      <c r="A381" s="48"/>
      <c r="B381" s="116"/>
      <c r="C381" s="116"/>
      <c r="D381" s="116"/>
      <c r="G381" s="107"/>
      <c r="H381" s="49"/>
      <c r="U381" s="49"/>
    </row>
    <row r="382">
      <c r="A382" s="48"/>
      <c r="B382" s="116"/>
      <c r="C382" s="116"/>
      <c r="D382" s="116"/>
      <c r="G382" s="107"/>
      <c r="H382" s="49"/>
      <c r="U382" s="49"/>
    </row>
    <row r="383">
      <c r="A383" s="48"/>
      <c r="B383" s="116"/>
      <c r="C383" s="116"/>
      <c r="D383" s="116"/>
      <c r="G383" s="107"/>
      <c r="H383" s="49"/>
      <c r="U383" s="49"/>
    </row>
    <row r="384">
      <c r="A384" s="48"/>
      <c r="B384" s="116"/>
      <c r="C384" s="116"/>
      <c r="D384" s="116"/>
      <c r="G384" s="107"/>
      <c r="H384" s="49"/>
      <c r="U384" s="49"/>
    </row>
    <row r="385">
      <c r="A385" s="48"/>
      <c r="B385" s="116"/>
      <c r="C385" s="116"/>
      <c r="D385" s="116"/>
      <c r="G385" s="107"/>
      <c r="H385" s="49"/>
      <c r="U385" s="49"/>
    </row>
    <row r="386">
      <c r="A386" s="48"/>
      <c r="B386" s="116"/>
      <c r="C386" s="116"/>
      <c r="D386" s="116"/>
      <c r="G386" s="107"/>
      <c r="H386" s="49"/>
      <c r="U386" s="49"/>
    </row>
    <row r="387">
      <c r="A387" s="48"/>
      <c r="B387" s="116"/>
      <c r="C387" s="116"/>
      <c r="D387" s="116"/>
      <c r="G387" s="107"/>
      <c r="H387" s="49"/>
      <c r="U387" s="49"/>
    </row>
    <row r="388">
      <c r="A388" s="48"/>
      <c r="B388" s="116"/>
      <c r="C388" s="116"/>
      <c r="D388" s="116"/>
      <c r="G388" s="107"/>
      <c r="H388" s="49"/>
      <c r="U388" s="49"/>
    </row>
    <row r="389">
      <c r="A389" s="48"/>
      <c r="B389" s="116"/>
      <c r="C389" s="116"/>
      <c r="D389" s="116"/>
      <c r="G389" s="107"/>
      <c r="H389" s="49"/>
      <c r="U389" s="49"/>
    </row>
    <row r="390">
      <c r="A390" s="48"/>
      <c r="B390" s="116"/>
      <c r="C390" s="116"/>
      <c r="D390" s="116"/>
      <c r="G390" s="107"/>
      <c r="H390" s="49"/>
      <c r="U390" s="49"/>
    </row>
    <row r="391">
      <c r="A391" s="48"/>
      <c r="B391" s="116"/>
      <c r="C391" s="116"/>
      <c r="D391" s="116"/>
      <c r="G391" s="107"/>
      <c r="H391" s="49"/>
      <c r="U391" s="49"/>
    </row>
    <row r="392">
      <c r="A392" s="48"/>
      <c r="B392" s="116"/>
      <c r="C392" s="116"/>
      <c r="D392" s="116"/>
      <c r="G392" s="107"/>
      <c r="H392" s="49"/>
      <c r="U392" s="49"/>
    </row>
    <row r="393">
      <c r="A393" s="48"/>
      <c r="B393" s="116"/>
      <c r="C393" s="116"/>
      <c r="D393" s="116"/>
      <c r="G393" s="107"/>
      <c r="H393" s="49"/>
      <c r="U393" s="49"/>
    </row>
    <row r="394">
      <c r="A394" s="48"/>
      <c r="B394" s="116"/>
      <c r="C394" s="116"/>
      <c r="D394" s="116"/>
      <c r="G394" s="107"/>
      <c r="H394" s="49"/>
      <c r="U394" s="49"/>
    </row>
    <row r="395">
      <c r="A395" s="48"/>
      <c r="B395" s="116"/>
      <c r="C395" s="116"/>
      <c r="D395" s="116"/>
      <c r="G395" s="107"/>
      <c r="H395" s="49"/>
      <c r="U395" s="49"/>
    </row>
    <row r="396">
      <c r="A396" s="48"/>
      <c r="B396" s="116"/>
      <c r="C396" s="116"/>
      <c r="D396" s="116"/>
      <c r="G396" s="107"/>
      <c r="H396" s="49"/>
      <c r="U396" s="49"/>
    </row>
    <row r="397">
      <c r="A397" s="48"/>
      <c r="B397" s="116"/>
      <c r="C397" s="116"/>
      <c r="D397" s="116"/>
      <c r="G397" s="107"/>
      <c r="H397" s="49"/>
      <c r="U397" s="49"/>
    </row>
    <row r="398">
      <c r="A398" s="48"/>
      <c r="B398" s="116"/>
      <c r="C398" s="116"/>
      <c r="D398" s="116"/>
      <c r="G398" s="107"/>
      <c r="H398" s="49"/>
      <c r="U398" s="49"/>
    </row>
    <row r="399">
      <c r="A399" s="48"/>
      <c r="B399" s="116"/>
      <c r="C399" s="116"/>
      <c r="D399" s="116"/>
      <c r="G399" s="107"/>
      <c r="H399" s="49"/>
      <c r="U399" s="49"/>
    </row>
    <row r="400">
      <c r="A400" s="48"/>
      <c r="B400" s="116"/>
      <c r="C400" s="116"/>
      <c r="D400" s="116"/>
      <c r="G400" s="107"/>
      <c r="H400" s="49"/>
      <c r="U400" s="49"/>
    </row>
    <row r="401">
      <c r="A401" s="48"/>
      <c r="B401" s="116"/>
      <c r="C401" s="116"/>
      <c r="D401" s="116"/>
      <c r="G401" s="107"/>
      <c r="H401" s="49"/>
      <c r="U401" s="49"/>
    </row>
    <row r="402">
      <c r="A402" s="48"/>
      <c r="B402" s="116"/>
      <c r="C402" s="116"/>
      <c r="D402" s="116"/>
      <c r="G402" s="107"/>
      <c r="H402" s="49"/>
      <c r="U402" s="49"/>
    </row>
    <row r="403">
      <c r="A403" s="48"/>
      <c r="B403" s="116"/>
      <c r="C403" s="116"/>
      <c r="D403" s="116"/>
      <c r="G403" s="107"/>
      <c r="H403" s="49"/>
      <c r="U403" s="49"/>
    </row>
    <row r="404">
      <c r="A404" s="48"/>
      <c r="B404" s="116"/>
      <c r="C404" s="116"/>
      <c r="D404" s="116"/>
      <c r="G404" s="107"/>
      <c r="H404" s="49"/>
      <c r="U404" s="49"/>
    </row>
    <row r="405">
      <c r="A405" s="48"/>
      <c r="B405" s="116"/>
      <c r="C405" s="116"/>
      <c r="D405" s="116"/>
      <c r="G405" s="107"/>
      <c r="H405" s="49"/>
      <c r="U405" s="49"/>
    </row>
    <row r="406">
      <c r="A406" s="48"/>
      <c r="B406" s="116"/>
      <c r="C406" s="116"/>
      <c r="D406" s="116"/>
      <c r="G406" s="107"/>
      <c r="H406" s="49"/>
      <c r="U406" s="49"/>
    </row>
    <row r="407">
      <c r="A407" s="48"/>
      <c r="B407" s="116"/>
      <c r="C407" s="116"/>
      <c r="D407" s="116"/>
      <c r="G407" s="107"/>
      <c r="H407" s="49"/>
      <c r="U407" s="49"/>
    </row>
    <row r="408">
      <c r="A408" s="48"/>
      <c r="B408" s="116"/>
      <c r="C408" s="116"/>
      <c r="D408" s="116"/>
      <c r="G408" s="107"/>
      <c r="H408" s="49"/>
      <c r="U408" s="49"/>
    </row>
    <row r="409">
      <c r="A409" s="48"/>
      <c r="B409" s="116"/>
      <c r="C409" s="116"/>
      <c r="D409" s="116"/>
      <c r="G409" s="107"/>
      <c r="H409" s="49"/>
      <c r="U409" s="49"/>
    </row>
    <row r="410">
      <c r="A410" s="48"/>
      <c r="B410" s="116"/>
      <c r="C410" s="116"/>
      <c r="D410" s="116"/>
      <c r="G410" s="107"/>
      <c r="H410" s="49"/>
      <c r="U410" s="49"/>
    </row>
    <row r="411">
      <c r="A411" s="48"/>
      <c r="B411" s="116"/>
      <c r="C411" s="116"/>
      <c r="D411" s="116"/>
      <c r="G411" s="107"/>
      <c r="H411" s="49"/>
      <c r="U411" s="49"/>
    </row>
    <row r="412">
      <c r="A412" s="48"/>
      <c r="B412" s="116"/>
      <c r="C412" s="116"/>
      <c r="D412" s="116"/>
      <c r="G412" s="107"/>
      <c r="H412" s="49"/>
      <c r="U412" s="49"/>
    </row>
    <row r="413">
      <c r="A413" s="48"/>
      <c r="B413" s="116"/>
      <c r="C413" s="116"/>
      <c r="D413" s="116"/>
      <c r="G413" s="107"/>
      <c r="H413" s="49"/>
      <c r="U413" s="49"/>
    </row>
    <row r="414">
      <c r="A414" s="48"/>
      <c r="B414" s="116"/>
      <c r="C414" s="116"/>
      <c r="D414" s="116"/>
      <c r="G414" s="107"/>
      <c r="H414" s="49"/>
      <c r="U414" s="49"/>
    </row>
    <row r="415">
      <c r="A415" s="48"/>
      <c r="B415" s="116"/>
      <c r="C415" s="116"/>
      <c r="D415" s="116"/>
      <c r="G415" s="107"/>
      <c r="H415" s="49"/>
      <c r="U415" s="49"/>
    </row>
    <row r="416">
      <c r="A416" s="48"/>
      <c r="B416" s="116"/>
      <c r="C416" s="116"/>
      <c r="D416" s="116"/>
      <c r="G416" s="107"/>
      <c r="H416" s="49"/>
      <c r="U416" s="49"/>
    </row>
    <row r="417">
      <c r="A417" s="48"/>
      <c r="B417" s="116"/>
      <c r="C417" s="116"/>
      <c r="D417" s="116"/>
      <c r="G417" s="107"/>
      <c r="H417" s="49"/>
      <c r="U417" s="49"/>
    </row>
    <row r="418">
      <c r="A418" s="48"/>
      <c r="B418" s="116"/>
      <c r="C418" s="116"/>
      <c r="D418" s="116"/>
      <c r="G418" s="107"/>
      <c r="H418" s="49"/>
      <c r="U418" s="49"/>
    </row>
    <row r="419">
      <c r="A419" s="48"/>
      <c r="B419" s="116"/>
      <c r="C419" s="116"/>
      <c r="D419" s="116"/>
      <c r="G419" s="107"/>
      <c r="H419" s="49"/>
      <c r="U419" s="49"/>
    </row>
    <row r="420">
      <c r="A420" s="48"/>
      <c r="B420" s="116"/>
      <c r="C420" s="116"/>
      <c r="D420" s="116"/>
      <c r="G420" s="107"/>
      <c r="H420" s="49"/>
      <c r="U420" s="49"/>
    </row>
    <row r="421">
      <c r="A421" s="48"/>
      <c r="B421" s="116"/>
      <c r="C421" s="116"/>
      <c r="D421" s="116"/>
      <c r="G421" s="107"/>
      <c r="H421" s="49"/>
      <c r="U421" s="49"/>
    </row>
    <row r="422">
      <c r="A422" s="48"/>
      <c r="B422" s="116"/>
      <c r="C422" s="116"/>
      <c r="D422" s="116"/>
      <c r="G422" s="107"/>
      <c r="H422" s="49"/>
      <c r="U422" s="49"/>
    </row>
    <row r="423">
      <c r="A423" s="48"/>
      <c r="B423" s="116"/>
      <c r="C423" s="116"/>
      <c r="D423" s="116"/>
      <c r="G423" s="107"/>
      <c r="H423" s="49"/>
      <c r="U423" s="49"/>
    </row>
    <row r="424">
      <c r="A424" s="48"/>
      <c r="B424" s="116"/>
      <c r="C424" s="116"/>
      <c r="D424" s="116"/>
      <c r="G424" s="107"/>
      <c r="H424" s="49"/>
      <c r="U424" s="49"/>
    </row>
    <row r="425">
      <c r="A425" s="48"/>
      <c r="B425" s="116"/>
      <c r="C425" s="116"/>
      <c r="D425" s="116"/>
      <c r="G425" s="107"/>
      <c r="H425" s="49"/>
      <c r="U425" s="49"/>
    </row>
    <row r="426">
      <c r="A426" s="48"/>
      <c r="B426" s="116"/>
      <c r="C426" s="116"/>
      <c r="D426" s="116"/>
      <c r="G426" s="107"/>
      <c r="H426" s="49"/>
      <c r="U426" s="49"/>
    </row>
    <row r="427">
      <c r="A427" s="48"/>
      <c r="B427" s="116"/>
      <c r="C427" s="116"/>
      <c r="D427" s="116"/>
      <c r="G427" s="107"/>
      <c r="H427" s="49"/>
      <c r="U427" s="49"/>
    </row>
    <row r="428">
      <c r="A428" s="48"/>
      <c r="B428" s="116"/>
      <c r="C428" s="116"/>
      <c r="D428" s="116"/>
      <c r="G428" s="107"/>
      <c r="H428" s="49"/>
      <c r="U428" s="49"/>
    </row>
    <row r="429">
      <c r="A429" s="48"/>
      <c r="B429" s="116"/>
      <c r="C429" s="116"/>
      <c r="D429" s="116"/>
      <c r="G429" s="107"/>
      <c r="H429" s="49"/>
      <c r="U429" s="49"/>
    </row>
    <row r="430">
      <c r="A430" s="48"/>
      <c r="B430" s="116"/>
      <c r="C430" s="116"/>
      <c r="D430" s="116"/>
      <c r="G430" s="107"/>
      <c r="H430" s="49"/>
      <c r="U430" s="49"/>
    </row>
    <row r="431">
      <c r="A431" s="48"/>
      <c r="B431" s="116"/>
      <c r="C431" s="116"/>
      <c r="D431" s="116"/>
      <c r="G431" s="107"/>
      <c r="H431" s="49"/>
      <c r="U431" s="49"/>
    </row>
    <row r="432">
      <c r="A432" s="48"/>
      <c r="B432" s="116"/>
      <c r="C432" s="116"/>
      <c r="D432" s="116"/>
      <c r="G432" s="107"/>
      <c r="H432" s="49"/>
      <c r="U432" s="49"/>
    </row>
    <row r="433">
      <c r="A433" s="48"/>
      <c r="B433" s="116"/>
      <c r="C433" s="116"/>
      <c r="D433" s="116"/>
      <c r="G433" s="107"/>
      <c r="H433" s="49"/>
      <c r="U433" s="49"/>
    </row>
    <row r="434">
      <c r="A434" s="48"/>
      <c r="B434" s="116"/>
      <c r="C434" s="116"/>
      <c r="D434" s="116"/>
      <c r="G434" s="107"/>
      <c r="H434" s="49"/>
      <c r="U434" s="49"/>
    </row>
    <row r="435">
      <c r="A435" s="48"/>
      <c r="B435" s="116"/>
      <c r="C435" s="116"/>
      <c r="D435" s="116"/>
      <c r="G435" s="107"/>
      <c r="H435" s="49"/>
      <c r="U435" s="49"/>
    </row>
    <row r="436">
      <c r="A436" s="48"/>
      <c r="B436" s="116"/>
      <c r="C436" s="116"/>
      <c r="D436" s="116"/>
      <c r="G436" s="107"/>
      <c r="H436" s="49"/>
      <c r="U436" s="49"/>
    </row>
    <row r="437">
      <c r="A437" s="48"/>
      <c r="B437" s="116"/>
      <c r="C437" s="116"/>
      <c r="D437" s="116"/>
      <c r="G437" s="107"/>
      <c r="H437" s="49"/>
      <c r="U437" s="49"/>
    </row>
    <row r="438">
      <c r="A438" s="48"/>
      <c r="B438" s="116"/>
      <c r="C438" s="116"/>
      <c r="D438" s="116"/>
      <c r="G438" s="107"/>
      <c r="H438" s="49"/>
      <c r="U438" s="49"/>
    </row>
    <row r="439">
      <c r="A439" s="48"/>
      <c r="B439" s="116"/>
      <c r="C439" s="116"/>
      <c r="D439" s="116"/>
      <c r="G439" s="107"/>
      <c r="H439" s="49"/>
      <c r="U439" s="49"/>
    </row>
    <row r="440">
      <c r="A440" s="48"/>
      <c r="B440" s="116"/>
      <c r="C440" s="116"/>
      <c r="D440" s="116"/>
      <c r="G440" s="107"/>
      <c r="H440" s="49"/>
      <c r="U440" s="49"/>
    </row>
    <row r="441">
      <c r="A441" s="48"/>
      <c r="B441" s="116"/>
      <c r="C441" s="116"/>
      <c r="D441" s="116"/>
      <c r="G441" s="107"/>
      <c r="H441" s="49"/>
      <c r="U441" s="49"/>
    </row>
    <row r="442">
      <c r="A442" s="48"/>
      <c r="B442" s="116"/>
      <c r="C442" s="116"/>
      <c r="D442" s="116"/>
      <c r="G442" s="107"/>
      <c r="H442" s="49"/>
      <c r="U442" s="49"/>
    </row>
    <row r="443">
      <c r="A443" s="48"/>
      <c r="B443" s="116"/>
      <c r="C443" s="116"/>
      <c r="D443" s="116"/>
      <c r="G443" s="107"/>
      <c r="H443" s="49"/>
      <c r="U443" s="49"/>
    </row>
    <row r="444">
      <c r="A444" s="48"/>
      <c r="B444" s="116"/>
      <c r="C444" s="116"/>
      <c r="D444" s="116"/>
      <c r="G444" s="107"/>
      <c r="H444" s="49"/>
      <c r="U444" s="49"/>
    </row>
    <row r="445">
      <c r="A445" s="48"/>
      <c r="B445" s="116"/>
      <c r="C445" s="116"/>
      <c r="D445" s="116"/>
      <c r="G445" s="107"/>
      <c r="H445" s="49"/>
      <c r="U445" s="49"/>
    </row>
    <row r="446">
      <c r="A446" s="48"/>
      <c r="B446" s="116"/>
      <c r="C446" s="116"/>
      <c r="D446" s="116"/>
      <c r="G446" s="107"/>
      <c r="H446" s="49"/>
      <c r="U446" s="49"/>
    </row>
    <row r="447">
      <c r="A447" s="48"/>
      <c r="B447" s="116"/>
      <c r="C447" s="116"/>
      <c r="D447" s="116"/>
      <c r="G447" s="107"/>
      <c r="H447" s="49"/>
      <c r="U447" s="49"/>
    </row>
    <row r="448">
      <c r="A448" s="48"/>
      <c r="B448" s="116"/>
      <c r="C448" s="116"/>
      <c r="D448" s="116"/>
      <c r="G448" s="107"/>
      <c r="H448" s="49"/>
      <c r="U448" s="49"/>
    </row>
    <row r="449">
      <c r="A449" s="48"/>
      <c r="B449" s="116"/>
      <c r="C449" s="116"/>
      <c r="D449" s="116"/>
      <c r="G449" s="107"/>
      <c r="H449" s="49"/>
      <c r="U449" s="49"/>
    </row>
    <row r="450">
      <c r="A450" s="48"/>
      <c r="B450" s="116"/>
      <c r="C450" s="116"/>
      <c r="D450" s="116"/>
      <c r="G450" s="107"/>
      <c r="H450" s="49"/>
      <c r="U450" s="49"/>
    </row>
    <row r="451">
      <c r="A451" s="48"/>
      <c r="B451" s="116"/>
      <c r="C451" s="116"/>
      <c r="D451" s="116"/>
      <c r="G451" s="107"/>
      <c r="H451" s="49"/>
      <c r="U451" s="49"/>
    </row>
    <row r="452">
      <c r="A452" s="48"/>
      <c r="B452" s="116"/>
      <c r="C452" s="116"/>
      <c r="D452" s="116"/>
      <c r="G452" s="107"/>
      <c r="H452" s="49"/>
      <c r="U452" s="49"/>
    </row>
    <row r="453">
      <c r="A453" s="48"/>
      <c r="B453" s="116"/>
      <c r="C453" s="116"/>
      <c r="D453" s="116"/>
      <c r="G453" s="107"/>
      <c r="H453" s="49"/>
      <c r="U453" s="49"/>
    </row>
    <row r="454">
      <c r="A454" s="48"/>
      <c r="B454" s="116"/>
      <c r="C454" s="116"/>
      <c r="D454" s="116"/>
      <c r="G454" s="107"/>
      <c r="H454" s="49"/>
      <c r="U454" s="49"/>
    </row>
    <row r="455">
      <c r="A455" s="48"/>
      <c r="B455" s="116"/>
      <c r="C455" s="116"/>
      <c r="D455" s="116"/>
      <c r="G455" s="107"/>
      <c r="H455" s="49"/>
      <c r="U455" s="49"/>
    </row>
    <row r="456">
      <c r="A456" s="48"/>
      <c r="B456" s="116"/>
      <c r="C456" s="116"/>
      <c r="D456" s="116"/>
      <c r="G456" s="107"/>
      <c r="H456" s="49"/>
      <c r="U456" s="49"/>
    </row>
    <row r="457">
      <c r="A457" s="48"/>
      <c r="B457" s="116"/>
      <c r="C457" s="116"/>
      <c r="D457" s="116"/>
      <c r="G457" s="107"/>
      <c r="H457" s="49"/>
      <c r="U457" s="49"/>
    </row>
    <row r="458">
      <c r="A458" s="48"/>
      <c r="B458" s="116"/>
      <c r="C458" s="116"/>
      <c r="D458" s="116"/>
      <c r="G458" s="107"/>
      <c r="H458" s="49"/>
      <c r="U458" s="49"/>
    </row>
    <row r="459">
      <c r="A459" s="48"/>
      <c r="B459" s="116"/>
      <c r="C459" s="116"/>
      <c r="D459" s="116"/>
      <c r="G459" s="107"/>
      <c r="H459" s="49"/>
      <c r="U459" s="49"/>
    </row>
    <row r="460">
      <c r="A460" s="48"/>
      <c r="B460" s="116"/>
      <c r="C460" s="116"/>
      <c r="D460" s="116"/>
      <c r="G460" s="107"/>
      <c r="H460" s="49"/>
      <c r="U460" s="49"/>
    </row>
    <row r="461">
      <c r="A461" s="48"/>
      <c r="B461" s="116"/>
      <c r="C461" s="116"/>
      <c r="D461" s="116"/>
      <c r="G461" s="107"/>
      <c r="H461" s="49"/>
      <c r="U461" s="49"/>
    </row>
    <row r="462">
      <c r="A462" s="48"/>
      <c r="B462" s="116"/>
      <c r="C462" s="116"/>
      <c r="D462" s="116"/>
      <c r="G462" s="107"/>
      <c r="H462" s="49"/>
      <c r="U462" s="49"/>
    </row>
    <row r="463">
      <c r="A463" s="48"/>
      <c r="B463" s="116"/>
      <c r="C463" s="116"/>
      <c r="D463" s="116"/>
      <c r="G463" s="107"/>
      <c r="H463" s="49"/>
      <c r="U463" s="49"/>
    </row>
    <row r="464">
      <c r="A464" s="48"/>
      <c r="B464" s="116"/>
      <c r="C464" s="116"/>
      <c r="D464" s="116"/>
      <c r="G464" s="107"/>
      <c r="H464" s="49"/>
      <c r="U464" s="49"/>
    </row>
    <row r="465">
      <c r="A465" s="48"/>
      <c r="B465" s="116"/>
      <c r="C465" s="116"/>
      <c r="D465" s="116"/>
      <c r="G465" s="107"/>
      <c r="H465" s="49"/>
      <c r="U465" s="49"/>
    </row>
    <row r="466">
      <c r="A466" s="48"/>
      <c r="B466" s="116"/>
      <c r="C466" s="116"/>
      <c r="D466" s="116"/>
      <c r="G466" s="107"/>
      <c r="H466" s="49"/>
      <c r="U466" s="49"/>
    </row>
    <row r="467">
      <c r="A467" s="48"/>
      <c r="B467" s="116"/>
      <c r="C467" s="116"/>
      <c r="D467" s="116"/>
      <c r="G467" s="107"/>
      <c r="H467" s="49"/>
      <c r="U467" s="49"/>
    </row>
    <row r="468">
      <c r="A468" s="48"/>
      <c r="B468" s="116"/>
      <c r="C468" s="116"/>
      <c r="D468" s="116"/>
      <c r="G468" s="107"/>
      <c r="H468" s="49"/>
      <c r="U468" s="49"/>
    </row>
    <row r="469">
      <c r="A469" s="48"/>
      <c r="B469" s="116"/>
      <c r="C469" s="116"/>
      <c r="D469" s="116"/>
      <c r="G469" s="107"/>
      <c r="H469" s="49"/>
      <c r="U469" s="49"/>
    </row>
    <row r="470">
      <c r="A470" s="48"/>
      <c r="B470" s="116"/>
      <c r="C470" s="116"/>
      <c r="D470" s="116"/>
      <c r="G470" s="107"/>
      <c r="H470" s="49"/>
      <c r="U470" s="49"/>
    </row>
    <row r="471">
      <c r="A471" s="48"/>
      <c r="B471" s="116"/>
      <c r="C471" s="116"/>
      <c r="D471" s="116"/>
      <c r="G471" s="107"/>
      <c r="H471" s="49"/>
      <c r="U471" s="49"/>
    </row>
    <row r="472">
      <c r="A472" s="48"/>
      <c r="B472" s="116"/>
      <c r="C472" s="116"/>
      <c r="D472" s="116"/>
      <c r="G472" s="107"/>
      <c r="H472" s="49"/>
      <c r="U472" s="49"/>
    </row>
    <row r="473">
      <c r="A473" s="48"/>
      <c r="B473" s="116"/>
      <c r="C473" s="116"/>
      <c r="D473" s="116"/>
      <c r="G473" s="107"/>
      <c r="H473" s="49"/>
      <c r="U473" s="49"/>
    </row>
    <row r="474">
      <c r="A474" s="48"/>
      <c r="B474" s="116"/>
      <c r="C474" s="116"/>
      <c r="D474" s="116"/>
      <c r="G474" s="107"/>
      <c r="H474" s="49"/>
      <c r="U474" s="49"/>
    </row>
    <row r="475">
      <c r="A475" s="48"/>
      <c r="B475" s="116"/>
      <c r="C475" s="116"/>
      <c r="D475" s="116"/>
      <c r="G475" s="107"/>
      <c r="H475" s="49"/>
      <c r="U475" s="49"/>
    </row>
    <row r="476">
      <c r="A476" s="48"/>
      <c r="B476" s="116"/>
      <c r="C476" s="116"/>
      <c r="D476" s="116"/>
      <c r="G476" s="107"/>
      <c r="H476" s="49"/>
      <c r="U476" s="49"/>
    </row>
    <row r="477">
      <c r="A477" s="48"/>
      <c r="B477" s="116"/>
      <c r="C477" s="116"/>
      <c r="D477" s="116"/>
      <c r="G477" s="107"/>
      <c r="H477" s="49"/>
      <c r="U477" s="49"/>
    </row>
    <row r="478">
      <c r="A478" s="48"/>
      <c r="B478" s="116"/>
      <c r="C478" s="116"/>
      <c r="D478" s="116"/>
      <c r="G478" s="107"/>
      <c r="H478" s="49"/>
      <c r="U478" s="49"/>
    </row>
    <row r="479">
      <c r="A479" s="48"/>
      <c r="B479" s="116"/>
      <c r="C479" s="116"/>
      <c r="D479" s="116"/>
      <c r="G479" s="107"/>
      <c r="H479" s="49"/>
      <c r="U479" s="49"/>
    </row>
    <row r="480">
      <c r="A480" s="48"/>
      <c r="B480" s="116"/>
      <c r="C480" s="116"/>
      <c r="D480" s="116"/>
      <c r="G480" s="107"/>
      <c r="H480" s="49"/>
      <c r="U480" s="49"/>
    </row>
    <row r="481">
      <c r="A481" s="48"/>
      <c r="B481" s="116"/>
      <c r="C481" s="116"/>
      <c r="D481" s="116"/>
      <c r="G481" s="107"/>
      <c r="H481" s="49"/>
      <c r="U481" s="49"/>
    </row>
    <row r="482">
      <c r="A482" s="48"/>
      <c r="B482" s="116"/>
      <c r="C482" s="116"/>
      <c r="D482" s="116"/>
      <c r="G482" s="107"/>
      <c r="H482" s="49"/>
      <c r="U482" s="49"/>
    </row>
    <row r="483">
      <c r="A483" s="48"/>
      <c r="B483" s="116"/>
      <c r="C483" s="116"/>
      <c r="D483" s="116"/>
      <c r="G483" s="107"/>
      <c r="H483" s="49"/>
      <c r="U483" s="49"/>
    </row>
    <row r="484">
      <c r="A484" s="48"/>
      <c r="B484" s="116"/>
      <c r="C484" s="116"/>
      <c r="D484" s="116"/>
      <c r="G484" s="107"/>
      <c r="H484" s="49"/>
      <c r="U484" s="49"/>
    </row>
    <row r="485">
      <c r="A485" s="48"/>
      <c r="B485" s="116"/>
      <c r="C485" s="116"/>
      <c r="D485" s="116"/>
      <c r="G485" s="107"/>
      <c r="H485" s="49"/>
      <c r="U485" s="49"/>
    </row>
    <row r="486">
      <c r="A486" s="48"/>
      <c r="B486" s="116"/>
      <c r="C486" s="116"/>
      <c r="D486" s="116"/>
      <c r="G486" s="107"/>
      <c r="H486" s="49"/>
      <c r="U486" s="49"/>
    </row>
    <row r="487">
      <c r="A487" s="48"/>
      <c r="B487" s="116"/>
      <c r="C487" s="116"/>
      <c r="D487" s="116"/>
      <c r="G487" s="107"/>
      <c r="H487" s="49"/>
      <c r="U487" s="49"/>
    </row>
    <row r="488">
      <c r="A488" s="48"/>
      <c r="B488" s="116"/>
      <c r="C488" s="116"/>
      <c r="D488" s="116"/>
      <c r="G488" s="107"/>
      <c r="H488" s="49"/>
      <c r="U488" s="49"/>
    </row>
    <row r="489">
      <c r="A489" s="48"/>
      <c r="B489" s="116"/>
      <c r="C489" s="116"/>
      <c r="D489" s="116"/>
      <c r="G489" s="107"/>
      <c r="H489" s="49"/>
      <c r="U489" s="49"/>
    </row>
    <row r="490">
      <c r="A490" s="48"/>
      <c r="B490" s="116"/>
      <c r="C490" s="116"/>
      <c r="D490" s="116"/>
      <c r="G490" s="107"/>
      <c r="H490" s="49"/>
      <c r="U490" s="49"/>
    </row>
    <row r="491">
      <c r="A491" s="48"/>
      <c r="B491" s="116"/>
      <c r="C491" s="116"/>
      <c r="D491" s="116"/>
      <c r="G491" s="107"/>
      <c r="H491" s="49"/>
      <c r="U491" s="49"/>
    </row>
    <row r="492">
      <c r="A492" s="48"/>
      <c r="B492" s="116"/>
      <c r="C492" s="116"/>
      <c r="D492" s="116"/>
      <c r="G492" s="107"/>
      <c r="H492" s="49"/>
      <c r="U492" s="49"/>
    </row>
    <row r="493">
      <c r="A493" s="48"/>
      <c r="B493" s="116"/>
      <c r="C493" s="116"/>
      <c r="D493" s="116"/>
      <c r="G493" s="107"/>
      <c r="H493" s="49"/>
      <c r="U493" s="49"/>
    </row>
    <row r="494">
      <c r="A494" s="48"/>
      <c r="B494" s="116"/>
      <c r="C494" s="116"/>
      <c r="D494" s="116"/>
      <c r="G494" s="107"/>
      <c r="H494" s="49"/>
      <c r="U494" s="49"/>
    </row>
    <row r="495">
      <c r="A495" s="48"/>
      <c r="B495" s="116"/>
      <c r="C495" s="116"/>
      <c r="D495" s="116"/>
      <c r="G495" s="107"/>
      <c r="H495" s="49"/>
      <c r="U495" s="49"/>
    </row>
    <row r="496">
      <c r="A496" s="48"/>
      <c r="B496" s="116"/>
      <c r="C496" s="116"/>
      <c r="D496" s="116"/>
      <c r="G496" s="107"/>
      <c r="H496" s="49"/>
      <c r="U496" s="49"/>
    </row>
    <row r="497">
      <c r="A497" s="48"/>
      <c r="B497" s="116"/>
      <c r="C497" s="116"/>
      <c r="D497" s="116"/>
      <c r="G497" s="107"/>
      <c r="H497" s="49"/>
      <c r="U497" s="49"/>
    </row>
    <row r="498">
      <c r="A498" s="48"/>
      <c r="B498" s="116"/>
      <c r="C498" s="116"/>
      <c r="D498" s="116"/>
      <c r="G498" s="107"/>
      <c r="H498" s="49"/>
      <c r="U498" s="49"/>
    </row>
    <row r="499">
      <c r="A499" s="48"/>
      <c r="B499" s="116"/>
      <c r="C499" s="116"/>
      <c r="D499" s="116"/>
      <c r="G499" s="107"/>
      <c r="H499" s="49"/>
      <c r="U499" s="49"/>
    </row>
    <row r="500">
      <c r="A500" s="48"/>
      <c r="B500" s="116"/>
      <c r="C500" s="116"/>
      <c r="D500" s="116"/>
      <c r="G500" s="107"/>
      <c r="H500" s="49"/>
      <c r="U500" s="49"/>
    </row>
    <row r="501">
      <c r="A501" s="48"/>
      <c r="B501" s="116"/>
      <c r="C501" s="116"/>
      <c r="D501" s="116"/>
      <c r="G501" s="107"/>
      <c r="H501" s="49"/>
      <c r="U501" s="49"/>
    </row>
    <row r="502">
      <c r="A502" s="48"/>
      <c r="B502" s="116"/>
      <c r="C502" s="116"/>
      <c r="D502" s="116"/>
      <c r="G502" s="107"/>
      <c r="H502" s="49"/>
      <c r="U502" s="49"/>
    </row>
    <row r="503">
      <c r="A503" s="48"/>
      <c r="B503" s="116"/>
      <c r="C503" s="116"/>
      <c r="D503" s="116"/>
      <c r="G503" s="107"/>
      <c r="H503" s="49"/>
      <c r="U503" s="49"/>
    </row>
    <row r="504">
      <c r="A504" s="48"/>
      <c r="B504" s="116"/>
      <c r="C504" s="116"/>
      <c r="D504" s="116"/>
      <c r="G504" s="107"/>
      <c r="H504" s="49"/>
      <c r="U504" s="49"/>
    </row>
    <row r="505">
      <c r="A505" s="48"/>
      <c r="B505" s="116"/>
      <c r="C505" s="116"/>
      <c r="D505" s="116"/>
      <c r="G505" s="107"/>
      <c r="H505" s="49"/>
      <c r="U505" s="49"/>
    </row>
    <row r="506">
      <c r="A506" s="48"/>
      <c r="B506" s="116"/>
      <c r="C506" s="116"/>
      <c r="D506" s="116"/>
      <c r="G506" s="107"/>
      <c r="H506" s="49"/>
      <c r="U506" s="49"/>
    </row>
    <row r="507">
      <c r="A507" s="48"/>
      <c r="B507" s="116"/>
      <c r="C507" s="116"/>
      <c r="D507" s="116"/>
      <c r="G507" s="107"/>
      <c r="H507" s="49"/>
      <c r="U507" s="49"/>
    </row>
    <row r="508">
      <c r="A508" s="48"/>
      <c r="B508" s="116"/>
      <c r="C508" s="116"/>
      <c r="D508" s="116"/>
      <c r="G508" s="107"/>
      <c r="H508" s="49"/>
      <c r="U508" s="49"/>
    </row>
    <row r="509">
      <c r="A509" s="48"/>
      <c r="B509" s="116"/>
      <c r="C509" s="116"/>
      <c r="D509" s="116"/>
      <c r="G509" s="107"/>
      <c r="H509" s="49"/>
      <c r="U509" s="49"/>
    </row>
    <row r="510">
      <c r="A510" s="48"/>
      <c r="B510" s="116"/>
      <c r="C510" s="116"/>
      <c r="D510" s="116"/>
      <c r="G510" s="107"/>
      <c r="H510" s="49"/>
      <c r="U510" s="49"/>
    </row>
    <row r="511">
      <c r="A511" s="48"/>
      <c r="B511" s="116"/>
      <c r="C511" s="116"/>
      <c r="D511" s="116"/>
      <c r="G511" s="107"/>
      <c r="H511" s="49"/>
      <c r="U511" s="49"/>
    </row>
    <row r="512">
      <c r="A512" s="48"/>
      <c r="B512" s="116"/>
      <c r="C512" s="116"/>
      <c r="D512" s="116"/>
      <c r="G512" s="107"/>
      <c r="H512" s="49"/>
      <c r="U512" s="49"/>
    </row>
    <row r="513">
      <c r="A513" s="48"/>
      <c r="B513" s="116"/>
      <c r="C513" s="116"/>
      <c r="D513" s="116"/>
      <c r="G513" s="107"/>
      <c r="H513" s="49"/>
      <c r="U513" s="49"/>
    </row>
    <row r="514">
      <c r="A514" s="48"/>
      <c r="B514" s="116"/>
      <c r="C514" s="116"/>
      <c r="D514" s="116"/>
      <c r="G514" s="107"/>
      <c r="H514" s="49"/>
      <c r="U514" s="49"/>
    </row>
    <row r="515">
      <c r="A515" s="48"/>
      <c r="B515" s="116"/>
      <c r="C515" s="116"/>
      <c r="D515" s="116"/>
      <c r="G515" s="107"/>
      <c r="H515" s="49"/>
      <c r="U515" s="49"/>
    </row>
    <row r="516">
      <c r="A516" s="48"/>
      <c r="B516" s="116"/>
      <c r="C516" s="116"/>
      <c r="D516" s="116"/>
      <c r="G516" s="107"/>
      <c r="H516" s="49"/>
      <c r="U516" s="49"/>
    </row>
    <row r="517">
      <c r="A517" s="48"/>
      <c r="B517" s="116"/>
      <c r="C517" s="116"/>
      <c r="D517" s="116"/>
      <c r="G517" s="107"/>
      <c r="H517" s="49"/>
      <c r="U517" s="49"/>
    </row>
    <row r="518">
      <c r="A518" s="48"/>
      <c r="B518" s="116"/>
      <c r="C518" s="116"/>
      <c r="D518" s="116"/>
      <c r="G518" s="107"/>
      <c r="H518" s="49"/>
      <c r="U518" s="49"/>
    </row>
    <row r="519">
      <c r="A519" s="48"/>
      <c r="B519" s="116"/>
      <c r="C519" s="116"/>
      <c r="D519" s="116"/>
      <c r="G519" s="107"/>
      <c r="H519" s="49"/>
      <c r="U519" s="49"/>
    </row>
    <row r="520">
      <c r="A520" s="48"/>
      <c r="B520" s="116"/>
      <c r="C520" s="116"/>
      <c r="D520" s="116"/>
      <c r="G520" s="107"/>
      <c r="H520" s="49"/>
      <c r="U520" s="49"/>
    </row>
    <row r="521">
      <c r="A521" s="48"/>
      <c r="B521" s="116"/>
      <c r="C521" s="116"/>
      <c r="D521" s="116"/>
      <c r="G521" s="107"/>
      <c r="H521" s="49"/>
      <c r="U521" s="49"/>
    </row>
    <row r="522">
      <c r="A522" s="48"/>
      <c r="B522" s="116"/>
      <c r="C522" s="116"/>
      <c r="D522" s="116"/>
      <c r="G522" s="107"/>
      <c r="H522" s="49"/>
      <c r="U522" s="49"/>
    </row>
    <row r="523">
      <c r="A523" s="48"/>
      <c r="B523" s="116"/>
      <c r="C523" s="116"/>
      <c r="D523" s="116"/>
      <c r="G523" s="107"/>
      <c r="H523" s="49"/>
      <c r="U523" s="49"/>
    </row>
    <row r="524">
      <c r="A524" s="48"/>
      <c r="B524" s="116"/>
      <c r="C524" s="116"/>
      <c r="D524" s="116"/>
      <c r="G524" s="107"/>
      <c r="H524" s="49"/>
      <c r="U524" s="49"/>
    </row>
    <row r="525">
      <c r="A525" s="48"/>
      <c r="B525" s="116"/>
      <c r="C525" s="116"/>
      <c r="D525" s="116"/>
      <c r="G525" s="107"/>
      <c r="H525" s="49"/>
      <c r="U525" s="49"/>
    </row>
    <row r="526">
      <c r="A526" s="48"/>
      <c r="B526" s="116"/>
      <c r="C526" s="116"/>
      <c r="D526" s="116"/>
      <c r="G526" s="107"/>
      <c r="H526" s="49"/>
      <c r="U526" s="49"/>
    </row>
    <row r="527">
      <c r="A527" s="48"/>
      <c r="B527" s="116"/>
      <c r="C527" s="116"/>
      <c r="D527" s="116"/>
      <c r="G527" s="107"/>
      <c r="H527" s="49"/>
      <c r="U527" s="49"/>
    </row>
    <row r="528">
      <c r="A528" s="48"/>
      <c r="B528" s="116"/>
      <c r="C528" s="116"/>
      <c r="D528" s="116"/>
      <c r="G528" s="107"/>
      <c r="H528" s="49"/>
      <c r="U528" s="49"/>
    </row>
    <row r="529">
      <c r="A529" s="48"/>
      <c r="B529" s="116"/>
      <c r="C529" s="116"/>
      <c r="D529" s="116"/>
      <c r="G529" s="107"/>
      <c r="H529" s="49"/>
      <c r="U529" s="49"/>
    </row>
    <row r="530">
      <c r="A530" s="48"/>
      <c r="B530" s="116"/>
      <c r="C530" s="116"/>
      <c r="D530" s="116"/>
      <c r="G530" s="107"/>
      <c r="H530" s="49"/>
      <c r="U530" s="49"/>
    </row>
    <row r="531">
      <c r="A531" s="48"/>
      <c r="B531" s="116"/>
      <c r="C531" s="116"/>
      <c r="D531" s="116"/>
      <c r="G531" s="107"/>
      <c r="H531" s="49"/>
      <c r="U531" s="49"/>
    </row>
    <row r="532">
      <c r="A532" s="48"/>
      <c r="B532" s="116"/>
      <c r="C532" s="116"/>
      <c r="D532" s="116"/>
      <c r="G532" s="107"/>
      <c r="H532" s="49"/>
      <c r="U532" s="49"/>
    </row>
    <row r="533">
      <c r="A533" s="48"/>
      <c r="B533" s="116"/>
      <c r="C533" s="116"/>
      <c r="D533" s="116"/>
      <c r="G533" s="107"/>
      <c r="H533" s="49"/>
      <c r="U533" s="49"/>
    </row>
    <row r="534">
      <c r="A534" s="48"/>
      <c r="B534" s="116"/>
      <c r="C534" s="116"/>
      <c r="D534" s="116"/>
      <c r="G534" s="107"/>
      <c r="H534" s="49"/>
      <c r="U534" s="49"/>
    </row>
    <row r="535">
      <c r="A535" s="48"/>
      <c r="B535" s="116"/>
      <c r="C535" s="116"/>
      <c r="D535" s="116"/>
      <c r="G535" s="107"/>
      <c r="H535" s="49"/>
      <c r="U535" s="49"/>
    </row>
    <row r="536">
      <c r="A536" s="48"/>
      <c r="B536" s="116"/>
      <c r="C536" s="116"/>
      <c r="D536" s="116"/>
      <c r="G536" s="107"/>
      <c r="H536" s="49"/>
      <c r="U536" s="49"/>
    </row>
    <row r="537">
      <c r="A537" s="48"/>
      <c r="B537" s="116"/>
      <c r="C537" s="116"/>
      <c r="D537" s="116"/>
      <c r="G537" s="107"/>
      <c r="H537" s="49"/>
      <c r="U537" s="49"/>
    </row>
    <row r="538">
      <c r="A538" s="48"/>
      <c r="B538" s="116"/>
      <c r="C538" s="116"/>
      <c r="D538" s="116"/>
      <c r="G538" s="107"/>
      <c r="H538" s="49"/>
      <c r="U538" s="49"/>
    </row>
    <row r="539">
      <c r="A539" s="48"/>
      <c r="B539" s="116"/>
      <c r="C539" s="116"/>
      <c r="D539" s="116"/>
      <c r="G539" s="107"/>
      <c r="H539" s="49"/>
      <c r="U539" s="49"/>
    </row>
    <row r="540">
      <c r="A540" s="48"/>
      <c r="B540" s="116"/>
      <c r="C540" s="116"/>
      <c r="D540" s="116"/>
      <c r="G540" s="107"/>
      <c r="H540" s="49"/>
      <c r="U540" s="49"/>
    </row>
    <row r="541">
      <c r="A541" s="48"/>
      <c r="B541" s="116"/>
      <c r="C541" s="116"/>
      <c r="D541" s="116"/>
      <c r="G541" s="107"/>
      <c r="H541" s="49"/>
      <c r="U541" s="49"/>
    </row>
    <row r="542">
      <c r="A542" s="48"/>
      <c r="B542" s="116"/>
      <c r="C542" s="116"/>
      <c r="D542" s="116"/>
      <c r="G542" s="107"/>
      <c r="H542" s="49"/>
      <c r="U542" s="49"/>
    </row>
    <row r="543">
      <c r="A543" s="48"/>
      <c r="B543" s="116"/>
      <c r="C543" s="116"/>
      <c r="D543" s="116"/>
      <c r="G543" s="107"/>
      <c r="H543" s="49"/>
      <c r="U543" s="49"/>
    </row>
    <row r="544">
      <c r="A544" s="48"/>
      <c r="B544" s="116"/>
      <c r="C544" s="116"/>
      <c r="D544" s="116"/>
      <c r="G544" s="107"/>
      <c r="H544" s="49"/>
      <c r="U544" s="49"/>
    </row>
    <row r="545">
      <c r="A545" s="48"/>
      <c r="B545" s="116"/>
      <c r="C545" s="116"/>
      <c r="D545" s="116"/>
      <c r="G545" s="107"/>
      <c r="H545" s="49"/>
      <c r="U545" s="49"/>
    </row>
    <row r="546">
      <c r="A546" s="48"/>
      <c r="B546" s="116"/>
      <c r="C546" s="116"/>
      <c r="D546" s="116"/>
      <c r="G546" s="107"/>
      <c r="H546" s="49"/>
      <c r="U546" s="49"/>
    </row>
    <row r="547">
      <c r="A547" s="48"/>
      <c r="B547" s="116"/>
      <c r="C547" s="116"/>
      <c r="D547" s="116"/>
      <c r="G547" s="107"/>
      <c r="H547" s="49"/>
      <c r="U547" s="49"/>
    </row>
    <row r="548">
      <c r="A548" s="48"/>
      <c r="B548" s="116"/>
      <c r="C548" s="116"/>
      <c r="D548" s="116"/>
      <c r="G548" s="107"/>
      <c r="H548" s="49"/>
      <c r="U548" s="49"/>
    </row>
    <row r="549">
      <c r="A549" s="48"/>
      <c r="B549" s="116"/>
      <c r="C549" s="116"/>
      <c r="D549" s="116"/>
      <c r="G549" s="107"/>
      <c r="H549" s="49"/>
      <c r="U549" s="49"/>
    </row>
    <row r="550">
      <c r="A550" s="48"/>
      <c r="B550" s="116"/>
      <c r="C550" s="116"/>
      <c r="D550" s="116"/>
      <c r="G550" s="107"/>
      <c r="H550" s="49"/>
      <c r="U550" s="49"/>
    </row>
    <row r="551">
      <c r="A551" s="48"/>
      <c r="B551" s="116"/>
      <c r="C551" s="116"/>
      <c r="D551" s="116"/>
      <c r="G551" s="107"/>
      <c r="H551" s="49"/>
      <c r="U551" s="49"/>
    </row>
    <row r="552">
      <c r="A552" s="48"/>
      <c r="B552" s="116"/>
      <c r="C552" s="116"/>
      <c r="D552" s="116"/>
      <c r="G552" s="107"/>
      <c r="H552" s="49"/>
      <c r="U552" s="49"/>
    </row>
    <row r="553">
      <c r="A553" s="48"/>
      <c r="B553" s="116"/>
      <c r="C553" s="116"/>
      <c r="D553" s="116"/>
      <c r="G553" s="107"/>
      <c r="H553" s="49"/>
      <c r="U553" s="49"/>
    </row>
    <row r="554">
      <c r="A554" s="48"/>
      <c r="B554" s="116"/>
      <c r="C554" s="116"/>
      <c r="D554" s="116"/>
      <c r="G554" s="107"/>
      <c r="H554" s="49"/>
      <c r="U554" s="49"/>
    </row>
    <row r="555">
      <c r="A555" s="48"/>
      <c r="B555" s="116"/>
      <c r="C555" s="116"/>
      <c r="D555" s="116"/>
      <c r="G555" s="107"/>
      <c r="H555" s="49"/>
      <c r="U555" s="49"/>
    </row>
    <row r="556">
      <c r="A556" s="48"/>
      <c r="B556" s="116"/>
      <c r="C556" s="116"/>
      <c r="D556" s="116"/>
      <c r="G556" s="107"/>
      <c r="H556" s="49"/>
      <c r="U556" s="49"/>
    </row>
    <row r="557">
      <c r="A557" s="48"/>
      <c r="B557" s="116"/>
      <c r="C557" s="116"/>
      <c r="D557" s="116"/>
      <c r="G557" s="107"/>
      <c r="H557" s="49"/>
      <c r="U557" s="49"/>
    </row>
    <row r="558">
      <c r="A558" s="48"/>
      <c r="B558" s="116"/>
      <c r="C558" s="116"/>
      <c r="D558" s="116"/>
      <c r="G558" s="107"/>
      <c r="H558" s="49"/>
      <c r="U558" s="49"/>
    </row>
    <row r="559">
      <c r="A559" s="48"/>
      <c r="B559" s="116"/>
      <c r="C559" s="116"/>
      <c r="D559" s="116"/>
      <c r="G559" s="107"/>
      <c r="H559" s="49"/>
      <c r="U559" s="49"/>
    </row>
    <row r="560">
      <c r="A560" s="48"/>
      <c r="B560" s="116"/>
      <c r="C560" s="116"/>
      <c r="D560" s="116"/>
      <c r="G560" s="107"/>
      <c r="H560" s="49"/>
      <c r="U560" s="49"/>
    </row>
    <row r="561">
      <c r="A561" s="48"/>
      <c r="B561" s="116"/>
      <c r="C561" s="116"/>
      <c r="D561" s="116"/>
      <c r="G561" s="107"/>
      <c r="H561" s="49"/>
      <c r="U561" s="49"/>
    </row>
    <row r="562">
      <c r="A562" s="48"/>
      <c r="B562" s="116"/>
      <c r="C562" s="116"/>
      <c r="D562" s="116"/>
      <c r="G562" s="107"/>
      <c r="H562" s="49"/>
      <c r="U562" s="49"/>
    </row>
    <row r="563">
      <c r="A563" s="48"/>
      <c r="B563" s="116"/>
      <c r="C563" s="116"/>
      <c r="D563" s="116"/>
      <c r="G563" s="107"/>
      <c r="H563" s="49"/>
      <c r="U563" s="49"/>
    </row>
    <row r="564">
      <c r="A564" s="48"/>
      <c r="B564" s="116"/>
      <c r="C564" s="116"/>
      <c r="D564" s="116"/>
      <c r="G564" s="107"/>
      <c r="H564" s="49"/>
      <c r="U564" s="49"/>
    </row>
    <row r="565">
      <c r="A565" s="48"/>
      <c r="B565" s="116"/>
      <c r="C565" s="116"/>
      <c r="D565" s="116"/>
      <c r="G565" s="107"/>
      <c r="H565" s="49"/>
      <c r="U565" s="49"/>
    </row>
    <row r="566">
      <c r="A566" s="48"/>
      <c r="B566" s="116"/>
      <c r="C566" s="116"/>
      <c r="D566" s="116"/>
      <c r="G566" s="107"/>
      <c r="H566" s="49"/>
      <c r="U566" s="49"/>
    </row>
    <row r="567">
      <c r="A567" s="48"/>
      <c r="B567" s="116"/>
      <c r="C567" s="116"/>
      <c r="D567" s="116"/>
      <c r="G567" s="107"/>
      <c r="H567" s="49"/>
      <c r="U567" s="49"/>
    </row>
    <row r="568">
      <c r="A568" s="48"/>
      <c r="B568" s="116"/>
      <c r="C568" s="116"/>
      <c r="D568" s="116"/>
      <c r="G568" s="107"/>
      <c r="H568" s="49"/>
      <c r="U568" s="49"/>
    </row>
    <row r="569">
      <c r="A569" s="48"/>
      <c r="B569" s="116"/>
      <c r="C569" s="116"/>
      <c r="D569" s="116"/>
      <c r="G569" s="107"/>
      <c r="H569" s="49"/>
      <c r="U569" s="49"/>
    </row>
    <row r="570">
      <c r="A570" s="48"/>
      <c r="B570" s="116"/>
      <c r="C570" s="116"/>
      <c r="D570" s="116"/>
      <c r="G570" s="107"/>
      <c r="H570" s="49"/>
      <c r="U570" s="49"/>
    </row>
    <row r="571">
      <c r="A571" s="48"/>
      <c r="B571" s="116"/>
      <c r="C571" s="116"/>
      <c r="D571" s="116"/>
      <c r="G571" s="107"/>
      <c r="H571" s="49"/>
      <c r="U571" s="49"/>
    </row>
    <row r="572">
      <c r="A572" s="48"/>
      <c r="B572" s="116"/>
      <c r="C572" s="116"/>
      <c r="D572" s="116"/>
      <c r="G572" s="107"/>
      <c r="H572" s="49"/>
      <c r="U572" s="49"/>
    </row>
    <row r="573">
      <c r="A573" s="48"/>
      <c r="B573" s="116"/>
      <c r="C573" s="116"/>
      <c r="D573" s="116"/>
      <c r="G573" s="107"/>
      <c r="H573" s="49"/>
      <c r="U573" s="49"/>
    </row>
    <row r="574">
      <c r="A574" s="48"/>
      <c r="B574" s="116"/>
      <c r="C574" s="116"/>
      <c r="D574" s="116"/>
      <c r="G574" s="107"/>
      <c r="H574" s="49"/>
      <c r="U574" s="49"/>
    </row>
    <row r="575">
      <c r="A575" s="48"/>
      <c r="B575" s="116"/>
      <c r="C575" s="116"/>
      <c r="D575" s="116"/>
      <c r="G575" s="107"/>
      <c r="H575" s="49"/>
      <c r="U575" s="49"/>
    </row>
    <row r="576">
      <c r="A576" s="48"/>
      <c r="B576" s="116"/>
      <c r="C576" s="116"/>
      <c r="D576" s="116"/>
      <c r="G576" s="107"/>
      <c r="H576" s="49"/>
      <c r="U576" s="49"/>
    </row>
    <row r="577">
      <c r="A577" s="48"/>
      <c r="B577" s="116"/>
      <c r="C577" s="116"/>
      <c r="D577" s="116"/>
      <c r="G577" s="107"/>
      <c r="H577" s="49"/>
      <c r="U577" s="49"/>
    </row>
    <row r="578">
      <c r="A578" s="48"/>
      <c r="B578" s="116"/>
      <c r="C578" s="116"/>
      <c r="D578" s="116"/>
      <c r="G578" s="107"/>
      <c r="H578" s="49"/>
      <c r="U578" s="49"/>
    </row>
    <row r="579">
      <c r="A579" s="48"/>
      <c r="B579" s="116"/>
      <c r="C579" s="116"/>
      <c r="D579" s="116"/>
      <c r="G579" s="107"/>
      <c r="H579" s="49"/>
      <c r="U579" s="49"/>
    </row>
    <row r="580">
      <c r="A580" s="48"/>
      <c r="B580" s="116"/>
      <c r="C580" s="116"/>
      <c r="D580" s="116"/>
      <c r="G580" s="107"/>
      <c r="H580" s="49"/>
      <c r="U580" s="49"/>
    </row>
    <row r="581">
      <c r="A581" s="48"/>
      <c r="B581" s="116"/>
      <c r="C581" s="116"/>
      <c r="D581" s="116"/>
      <c r="G581" s="107"/>
      <c r="H581" s="49"/>
      <c r="U581" s="49"/>
    </row>
    <row r="582">
      <c r="A582" s="48"/>
      <c r="B582" s="116"/>
      <c r="C582" s="116"/>
      <c r="D582" s="116"/>
      <c r="G582" s="107"/>
      <c r="H582" s="49"/>
      <c r="U582" s="49"/>
    </row>
    <row r="583">
      <c r="A583" s="48"/>
      <c r="B583" s="116"/>
      <c r="C583" s="116"/>
      <c r="D583" s="116"/>
      <c r="G583" s="107"/>
      <c r="H583" s="49"/>
      <c r="U583" s="49"/>
    </row>
    <row r="584">
      <c r="A584" s="48"/>
      <c r="B584" s="116"/>
      <c r="C584" s="116"/>
      <c r="D584" s="116"/>
      <c r="G584" s="107"/>
      <c r="H584" s="49"/>
      <c r="U584" s="49"/>
    </row>
    <row r="585">
      <c r="A585" s="48"/>
      <c r="B585" s="116"/>
      <c r="C585" s="116"/>
      <c r="D585" s="116"/>
      <c r="G585" s="107"/>
      <c r="H585" s="49"/>
      <c r="U585" s="49"/>
    </row>
    <row r="586">
      <c r="A586" s="48"/>
      <c r="B586" s="116"/>
      <c r="C586" s="116"/>
      <c r="D586" s="116"/>
      <c r="G586" s="107"/>
      <c r="H586" s="49"/>
      <c r="U586" s="49"/>
    </row>
    <row r="587">
      <c r="A587" s="48"/>
      <c r="B587" s="116"/>
      <c r="C587" s="116"/>
      <c r="D587" s="116"/>
      <c r="G587" s="107"/>
      <c r="H587" s="49"/>
      <c r="U587" s="49"/>
    </row>
    <row r="588">
      <c r="A588" s="48"/>
      <c r="B588" s="116"/>
      <c r="C588" s="116"/>
      <c r="D588" s="116"/>
      <c r="G588" s="107"/>
      <c r="H588" s="49"/>
      <c r="U588" s="49"/>
    </row>
    <row r="589">
      <c r="A589" s="48"/>
      <c r="B589" s="116"/>
      <c r="C589" s="116"/>
      <c r="D589" s="116"/>
      <c r="G589" s="107"/>
      <c r="H589" s="49"/>
      <c r="U589" s="49"/>
    </row>
    <row r="590">
      <c r="A590" s="48"/>
      <c r="B590" s="116"/>
      <c r="C590" s="116"/>
      <c r="D590" s="116"/>
      <c r="G590" s="107"/>
      <c r="H590" s="49"/>
      <c r="U590" s="49"/>
    </row>
    <row r="591">
      <c r="A591" s="48"/>
      <c r="B591" s="116"/>
      <c r="C591" s="116"/>
      <c r="D591" s="116"/>
      <c r="G591" s="107"/>
      <c r="H591" s="49"/>
      <c r="U591" s="49"/>
    </row>
    <row r="592">
      <c r="A592" s="48"/>
      <c r="B592" s="116"/>
      <c r="C592" s="116"/>
      <c r="D592" s="116"/>
      <c r="G592" s="107"/>
      <c r="H592" s="49"/>
      <c r="U592" s="49"/>
    </row>
    <row r="593">
      <c r="A593" s="48"/>
      <c r="B593" s="116"/>
      <c r="C593" s="116"/>
      <c r="D593" s="116"/>
      <c r="G593" s="107"/>
      <c r="H593" s="49"/>
      <c r="U593" s="49"/>
    </row>
    <row r="594">
      <c r="A594" s="48"/>
      <c r="B594" s="116"/>
      <c r="C594" s="116"/>
      <c r="D594" s="116"/>
      <c r="G594" s="107"/>
      <c r="H594" s="49"/>
      <c r="U594" s="49"/>
    </row>
    <row r="595">
      <c r="A595" s="48"/>
      <c r="B595" s="116"/>
      <c r="C595" s="116"/>
      <c r="D595" s="116"/>
      <c r="G595" s="107"/>
      <c r="H595" s="49"/>
      <c r="U595" s="49"/>
    </row>
    <row r="596">
      <c r="A596" s="48"/>
      <c r="B596" s="116"/>
      <c r="C596" s="116"/>
      <c r="D596" s="116"/>
      <c r="G596" s="107"/>
      <c r="H596" s="49"/>
      <c r="U596" s="49"/>
    </row>
    <row r="597">
      <c r="A597" s="48"/>
      <c r="B597" s="116"/>
      <c r="C597" s="116"/>
      <c r="D597" s="116"/>
      <c r="G597" s="107"/>
      <c r="H597" s="49"/>
      <c r="U597" s="49"/>
    </row>
    <row r="598">
      <c r="A598" s="48"/>
      <c r="B598" s="116"/>
      <c r="C598" s="116"/>
      <c r="D598" s="116"/>
      <c r="G598" s="107"/>
      <c r="H598" s="49"/>
      <c r="U598" s="49"/>
    </row>
    <row r="599">
      <c r="A599" s="48"/>
      <c r="B599" s="116"/>
      <c r="C599" s="116"/>
      <c r="D599" s="116"/>
      <c r="G599" s="107"/>
      <c r="H599" s="49"/>
      <c r="U599" s="49"/>
    </row>
    <row r="600">
      <c r="A600" s="48"/>
      <c r="B600" s="116"/>
      <c r="C600" s="116"/>
      <c r="D600" s="116"/>
      <c r="G600" s="107"/>
      <c r="H600" s="49"/>
      <c r="U600" s="49"/>
    </row>
    <row r="601">
      <c r="A601" s="48"/>
      <c r="B601" s="116"/>
      <c r="C601" s="116"/>
      <c r="D601" s="116"/>
      <c r="G601" s="107"/>
      <c r="H601" s="49"/>
      <c r="U601" s="49"/>
    </row>
    <row r="602">
      <c r="A602" s="48"/>
      <c r="B602" s="116"/>
      <c r="C602" s="116"/>
      <c r="D602" s="116"/>
      <c r="G602" s="107"/>
      <c r="H602" s="49"/>
      <c r="U602" s="49"/>
    </row>
    <row r="603">
      <c r="A603" s="48"/>
      <c r="B603" s="116"/>
      <c r="C603" s="116"/>
      <c r="D603" s="116"/>
      <c r="G603" s="107"/>
      <c r="H603" s="49"/>
      <c r="U603" s="49"/>
    </row>
    <row r="604">
      <c r="A604" s="48"/>
      <c r="B604" s="116"/>
      <c r="C604" s="116"/>
      <c r="D604" s="116"/>
      <c r="G604" s="107"/>
      <c r="H604" s="49"/>
      <c r="U604" s="49"/>
    </row>
    <row r="605">
      <c r="A605" s="48"/>
      <c r="B605" s="116"/>
      <c r="C605" s="116"/>
      <c r="D605" s="116"/>
      <c r="G605" s="107"/>
      <c r="H605" s="49"/>
      <c r="U605" s="49"/>
    </row>
    <row r="606">
      <c r="A606" s="48"/>
      <c r="B606" s="116"/>
      <c r="C606" s="116"/>
      <c r="D606" s="116"/>
      <c r="G606" s="107"/>
      <c r="H606" s="49"/>
      <c r="U606" s="49"/>
    </row>
    <row r="607">
      <c r="A607" s="48"/>
      <c r="B607" s="116"/>
      <c r="C607" s="116"/>
      <c r="D607" s="116"/>
      <c r="G607" s="107"/>
      <c r="H607" s="49"/>
      <c r="U607" s="49"/>
    </row>
    <row r="608">
      <c r="A608" s="48"/>
      <c r="B608" s="116"/>
      <c r="C608" s="116"/>
      <c r="D608" s="116"/>
      <c r="G608" s="107"/>
      <c r="H608" s="49"/>
      <c r="U608" s="49"/>
    </row>
    <row r="609">
      <c r="A609" s="48"/>
      <c r="B609" s="116"/>
      <c r="C609" s="116"/>
      <c r="D609" s="116"/>
      <c r="G609" s="107"/>
      <c r="H609" s="49"/>
      <c r="U609" s="49"/>
    </row>
    <row r="610">
      <c r="A610" s="48"/>
      <c r="B610" s="116"/>
      <c r="C610" s="116"/>
      <c r="D610" s="116"/>
      <c r="G610" s="107"/>
      <c r="H610" s="49"/>
      <c r="U610" s="49"/>
    </row>
    <row r="611">
      <c r="A611" s="48"/>
      <c r="B611" s="116"/>
      <c r="C611" s="116"/>
      <c r="D611" s="116"/>
      <c r="G611" s="107"/>
      <c r="H611" s="49"/>
      <c r="U611" s="49"/>
    </row>
    <row r="612">
      <c r="A612" s="48"/>
      <c r="B612" s="116"/>
      <c r="C612" s="116"/>
      <c r="D612" s="116"/>
      <c r="G612" s="107"/>
      <c r="H612" s="49"/>
      <c r="U612" s="49"/>
    </row>
    <row r="613">
      <c r="A613" s="48"/>
      <c r="B613" s="116"/>
      <c r="C613" s="116"/>
      <c r="D613" s="116"/>
      <c r="G613" s="107"/>
      <c r="H613" s="49"/>
      <c r="U613" s="49"/>
    </row>
    <row r="614">
      <c r="A614" s="48"/>
      <c r="B614" s="116"/>
      <c r="C614" s="116"/>
      <c r="D614" s="116"/>
      <c r="G614" s="107"/>
      <c r="H614" s="49"/>
      <c r="U614" s="49"/>
    </row>
    <row r="615">
      <c r="A615" s="48"/>
      <c r="B615" s="116"/>
      <c r="C615" s="116"/>
      <c r="D615" s="116"/>
      <c r="G615" s="107"/>
      <c r="H615" s="49"/>
      <c r="U615" s="49"/>
    </row>
    <row r="616">
      <c r="A616" s="48"/>
      <c r="B616" s="116"/>
      <c r="C616" s="116"/>
      <c r="D616" s="116"/>
      <c r="G616" s="107"/>
      <c r="H616" s="49"/>
      <c r="U616" s="49"/>
    </row>
    <row r="617">
      <c r="A617" s="48"/>
      <c r="B617" s="116"/>
      <c r="C617" s="116"/>
      <c r="D617" s="116"/>
      <c r="G617" s="107"/>
      <c r="H617" s="49"/>
      <c r="U617" s="49"/>
    </row>
    <row r="618">
      <c r="A618" s="48"/>
      <c r="B618" s="116"/>
      <c r="C618" s="116"/>
      <c r="D618" s="116"/>
      <c r="G618" s="107"/>
      <c r="H618" s="49"/>
      <c r="U618" s="49"/>
    </row>
    <row r="619">
      <c r="A619" s="48"/>
      <c r="B619" s="116"/>
      <c r="C619" s="116"/>
      <c r="D619" s="116"/>
      <c r="G619" s="107"/>
      <c r="H619" s="49"/>
      <c r="U619" s="49"/>
    </row>
    <row r="620">
      <c r="A620" s="48"/>
      <c r="B620" s="116"/>
      <c r="C620" s="116"/>
      <c r="D620" s="116"/>
      <c r="G620" s="107"/>
      <c r="H620" s="49"/>
      <c r="U620" s="49"/>
    </row>
    <row r="621">
      <c r="A621" s="48"/>
      <c r="B621" s="116"/>
      <c r="C621" s="116"/>
      <c r="D621" s="116"/>
      <c r="G621" s="107"/>
      <c r="H621" s="49"/>
      <c r="U621" s="49"/>
    </row>
    <row r="622">
      <c r="A622" s="48"/>
      <c r="B622" s="116"/>
      <c r="C622" s="116"/>
      <c r="D622" s="116"/>
      <c r="G622" s="107"/>
      <c r="H622" s="49"/>
      <c r="U622" s="49"/>
    </row>
    <row r="623">
      <c r="A623" s="48"/>
      <c r="B623" s="116"/>
      <c r="C623" s="116"/>
      <c r="D623" s="116"/>
      <c r="G623" s="107"/>
      <c r="H623" s="49"/>
      <c r="U623" s="49"/>
    </row>
    <row r="624">
      <c r="A624" s="48"/>
      <c r="B624" s="116"/>
      <c r="C624" s="116"/>
      <c r="D624" s="116"/>
      <c r="G624" s="107"/>
      <c r="H624" s="49"/>
      <c r="U624" s="49"/>
    </row>
    <row r="625">
      <c r="A625" s="48"/>
      <c r="B625" s="116"/>
      <c r="C625" s="116"/>
      <c r="D625" s="116"/>
      <c r="G625" s="107"/>
      <c r="H625" s="49"/>
      <c r="U625" s="49"/>
    </row>
    <row r="626">
      <c r="A626" s="48"/>
      <c r="B626" s="116"/>
      <c r="C626" s="116"/>
      <c r="D626" s="116"/>
      <c r="G626" s="107"/>
      <c r="H626" s="49"/>
      <c r="U626" s="49"/>
    </row>
    <row r="627">
      <c r="A627" s="48"/>
      <c r="B627" s="116"/>
      <c r="C627" s="116"/>
      <c r="D627" s="116"/>
      <c r="G627" s="107"/>
      <c r="H627" s="49"/>
      <c r="U627" s="49"/>
    </row>
    <row r="628">
      <c r="A628" s="48"/>
      <c r="B628" s="116"/>
      <c r="C628" s="116"/>
      <c r="D628" s="116"/>
      <c r="G628" s="107"/>
      <c r="H628" s="49"/>
      <c r="U628" s="49"/>
    </row>
    <row r="629">
      <c r="A629" s="48"/>
      <c r="B629" s="116"/>
      <c r="C629" s="116"/>
      <c r="D629" s="116"/>
      <c r="G629" s="107"/>
      <c r="H629" s="49"/>
      <c r="U629" s="49"/>
    </row>
    <row r="630">
      <c r="A630" s="48"/>
      <c r="B630" s="116"/>
      <c r="C630" s="116"/>
      <c r="D630" s="116"/>
      <c r="G630" s="107"/>
      <c r="H630" s="49"/>
      <c r="U630" s="49"/>
    </row>
    <row r="631">
      <c r="A631" s="48"/>
      <c r="B631" s="116"/>
      <c r="C631" s="116"/>
      <c r="D631" s="116"/>
      <c r="G631" s="107"/>
      <c r="H631" s="49"/>
      <c r="U631" s="49"/>
    </row>
    <row r="632">
      <c r="A632" s="48"/>
      <c r="B632" s="116"/>
      <c r="C632" s="116"/>
      <c r="D632" s="116"/>
      <c r="G632" s="107"/>
      <c r="H632" s="49"/>
      <c r="U632" s="49"/>
    </row>
    <row r="633">
      <c r="A633" s="48"/>
      <c r="B633" s="116"/>
      <c r="C633" s="116"/>
      <c r="D633" s="116"/>
      <c r="G633" s="107"/>
      <c r="H633" s="49"/>
      <c r="U633" s="49"/>
    </row>
    <row r="634">
      <c r="A634" s="48"/>
      <c r="B634" s="116"/>
      <c r="C634" s="116"/>
      <c r="D634" s="116"/>
      <c r="G634" s="107"/>
      <c r="H634" s="49"/>
      <c r="U634" s="49"/>
    </row>
    <row r="635">
      <c r="A635" s="48"/>
      <c r="B635" s="116"/>
      <c r="C635" s="116"/>
      <c r="D635" s="116"/>
      <c r="G635" s="107"/>
      <c r="H635" s="49"/>
      <c r="U635" s="49"/>
    </row>
    <row r="636">
      <c r="A636" s="48"/>
      <c r="B636" s="116"/>
      <c r="C636" s="116"/>
      <c r="D636" s="116"/>
      <c r="G636" s="107"/>
      <c r="H636" s="49"/>
      <c r="U636" s="49"/>
    </row>
    <row r="637">
      <c r="A637" s="48"/>
      <c r="B637" s="116"/>
      <c r="C637" s="116"/>
      <c r="D637" s="116"/>
      <c r="G637" s="107"/>
      <c r="H637" s="49"/>
      <c r="U637" s="49"/>
    </row>
    <row r="638">
      <c r="A638" s="48"/>
      <c r="B638" s="116"/>
      <c r="C638" s="116"/>
      <c r="D638" s="116"/>
      <c r="G638" s="107"/>
      <c r="H638" s="49"/>
      <c r="U638" s="49"/>
    </row>
    <row r="639">
      <c r="A639" s="48"/>
      <c r="B639" s="116"/>
      <c r="C639" s="116"/>
      <c r="D639" s="116"/>
      <c r="G639" s="107"/>
      <c r="H639" s="49"/>
      <c r="U639" s="49"/>
    </row>
    <row r="640">
      <c r="A640" s="48"/>
      <c r="B640" s="116"/>
      <c r="C640" s="116"/>
      <c r="D640" s="116"/>
      <c r="G640" s="107"/>
      <c r="H640" s="49"/>
      <c r="U640" s="49"/>
    </row>
    <row r="641">
      <c r="A641" s="48"/>
      <c r="B641" s="116"/>
      <c r="C641" s="116"/>
      <c r="D641" s="116"/>
      <c r="G641" s="107"/>
      <c r="H641" s="49"/>
      <c r="U641" s="49"/>
    </row>
    <row r="642">
      <c r="A642" s="48"/>
      <c r="B642" s="116"/>
      <c r="C642" s="116"/>
      <c r="D642" s="116"/>
      <c r="G642" s="107"/>
      <c r="H642" s="49"/>
      <c r="U642" s="49"/>
    </row>
    <row r="643">
      <c r="A643" s="48"/>
      <c r="B643" s="116"/>
      <c r="C643" s="116"/>
      <c r="D643" s="116"/>
      <c r="G643" s="107"/>
      <c r="H643" s="49"/>
      <c r="U643" s="49"/>
    </row>
    <row r="644">
      <c r="A644" s="48"/>
      <c r="B644" s="116"/>
      <c r="C644" s="116"/>
      <c r="D644" s="116"/>
      <c r="G644" s="107"/>
      <c r="H644" s="49"/>
      <c r="U644" s="49"/>
    </row>
    <row r="645">
      <c r="A645" s="48"/>
      <c r="B645" s="116"/>
      <c r="C645" s="116"/>
      <c r="D645" s="116"/>
      <c r="G645" s="107"/>
      <c r="H645" s="49"/>
      <c r="U645" s="49"/>
    </row>
    <row r="646">
      <c r="A646" s="48"/>
      <c r="B646" s="116"/>
      <c r="C646" s="116"/>
      <c r="D646" s="116"/>
      <c r="G646" s="107"/>
      <c r="H646" s="49"/>
      <c r="U646" s="49"/>
    </row>
    <row r="647">
      <c r="A647" s="48"/>
      <c r="B647" s="116"/>
      <c r="C647" s="116"/>
      <c r="D647" s="116"/>
      <c r="G647" s="107"/>
      <c r="H647" s="49"/>
      <c r="U647" s="49"/>
    </row>
    <row r="648">
      <c r="A648" s="48"/>
      <c r="B648" s="116"/>
      <c r="C648" s="116"/>
      <c r="D648" s="116"/>
      <c r="G648" s="107"/>
      <c r="H648" s="49"/>
      <c r="U648" s="49"/>
    </row>
    <row r="649">
      <c r="A649" s="48"/>
      <c r="B649" s="116"/>
      <c r="C649" s="116"/>
      <c r="D649" s="116"/>
      <c r="G649" s="107"/>
      <c r="H649" s="49"/>
      <c r="U649" s="49"/>
    </row>
    <row r="650">
      <c r="A650" s="48"/>
      <c r="B650" s="116"/>
      <c r="C650" s="116"/>
      <c r="D650" s="116"/>
      <c r="G650" s="107"/>
      <c r="H650" s="49"/>
      <c r="U650" s="49"/>
    </row>
    <row r="651">
      <c r="A651" s="48"/>
      <c r="B651" s="116"/>
      <c r="C651" s="116"/>
      <c r="D651" s="116"/>
      <c r="G651" s="107"/>
      <c r="H651" s="49"/>
      <c r="U651" s="49"/>
    </row>
    <row r="652">
      <c r="A652" s="48"/>
      <c r="B652" s="116"/>
      <c r="C652" s="116"/>
      <c r="D652" s="116"/>
      <c r="G652" s="107"/>
      <c r="H652" s="49"/>
      <c r="U652" s="49"/>
    </row>
    <row r="653">
      <c r="A653" s="48"/>
      <c r="B653" s="116"/>
      <c r="C653" s="116"/>
      <c r="D653" s="116"/>
      <c r="G653" s="107"/>
      <c r="H653" s="49"/>
      <c r="U653" s="49"/>
    </row>
    <row r="654">
      <c r="A654" s="48"/>
      <c r="B654" s="116"/>
      <c r="C654" s="116"/>
      <c r="D654" s="116"/>
      <c r="G654" s="107"/>
      <c r="H654" s="49"/>
      <c r="U654" s="49"/>
    </row>
    <row r="655">
      <c r="A655" s="48"/>
      <c r="B655" s="116"/>
      <c r="C655" s="116"/>
      <c r="D655" s="116"/>
      <c r="G655" s="107"/>
      <c r="H655" s="49"/>
      <c r="U655" s="49"/>
    </row>
    <row r="656">
      <c r="A656" s="48"/>
      <c r="B656" s="116"/>
      <c r="C656" s="116"/>
      <c r="D656" s="116"/>
      <c r="G656" s="107"/>
      <c r="H656" s="49"/>
      <c r="U656" s="49"/>
    </row>
    <row r="657">
      <c r="A657" s="48"/>
      <c r="B657" s="116"/>
      <c r="C657" s="116"/>
      <c r="D657" s="116"/>
      <c r="G657" s="107"/>
      <c r="H657" s="49"/>
      <c r="U657" s="49"/>
    </row>
    <row r="658">
      <c r="A658" s="48"/>
      <c r="B658" s="116"/>
      <c r="C658" s="116"/>
      <c r="D658" s="116"/>
      <c r="G658" s="107"/>
      <c r="H658" s="49"/>
      <c r="U658" s="49"/>
    </row>
    <row r="659">
      <c r="A659" s="48"/>
      <c r="B659" s="116"/>
      <c r="C659" s="116"/>
      <c r="D659" s="116"/>
      <c r="G659" s="107"/>
      <c r="H659" s="49"/>
      <c r="U659" s="49"/>
    </row>
    <row r="660">
      <c r="A660" s="48"/>
      <c r="B660" s="116"/>
      <c r="C660" s="116"/>
      <c r="D660" s="116"/>
      <c r="G660" s="107"/>
      <c r="H660" s="49"/>
      <c r="U660" s="49"/>
    </row>
    <row r="661">
      <c r="A661" s="48"/>
      <c r="B661" s="116"/>
      <c r="C661" s="116"/>
      <c r="D661" s="116"/>
      <c r="G661" s="107"/>
      <c r="H661" s="49"/>
      <c r="U661" s="49"/>
    </row>
    <row r="662">
      <c r="A662" s="48"/>
      <c r="B662" s="116"/>
      <c r="C662" s="116"/>
      <c r="D662" s="116"/>
      <c r="G662" s="107"/>
      <c r="H662" s="49"/>
      <c r="U662" s="49"/>
    </row>
    <row r="663">
      <c r="A663" s="48"/>
      <c r="B663" s="116"/>
      <c r="C663" s="116"/>
      <c r="D663" s="116"/>
      <c r="G663" s="107"/>
      <c r="H663" s="49"/>
      <c r="U663" s="49"/>
    </row>
    <row r="664">
      <c r="A664" s="48"/>
      <c r="B664" s="116"/>
      <c r="C664" s="116"/>
      <c r="D664" s="116"/>
      <c r="G664" s="107"/>
      <c r="H664" s="49"/>
      <c r="U664" s="49"/>
    </row>
    <row r="665">
      <c r="A665" s="48"/>
      <c r="B665" s="116"/>
      <c r="C665" s="116"/>
      <c r="D665" s="116"/>
      <c r="G665" s="107"/>
      <c r="H665" s="49"/>
      <c r="U665" s="49"/>
    </row>
    <row r="666">
      <c r="A666" s="48"/>
      <c r="B666" s="116"/>
      <c r="C666" s="116"/>
      <c r="D666" s="116"/>
      <c r="G666" s="107"/>
      <c r="H666" s="49"/>
      <c r="U666" s="49"/>
    </row>
    <row r="667">
      <c r="A667" s="48"/>
      <c r="B667" s="116"/>
      <c r="C667" s="116"/>
      <c r="D667" s="116"/>
      <c r="G667" s="107"/>
      <c r="H667" s="49"/>
      <c r="U667" s="49"/>
    </row>
    <row r="668">
      <c r="A668" s="48"/>
      <c r="B668" s="116"/>
      <c r="C668" s="116"/>
      <c r="D668" s="116"/>
      <c r="G668" s="107"/>
      <c r="H668" s="49"/>
      <c r="U668" s="49"/>
    </row>
    <row r="669">
      <c r="A669" s="48"/>
      <c r="B669" s="116"/>
      <c r="C669" s="116"/>
      <c r="D669" s="116"/>
      <c r="G669" s="107"/>
      <c r="H669" s="49"/>
      <c r="U669" s="49"/>
    </row>
    <row r="670">
      <c r="A670" s="48"/>
      <c r="B670" s="116"/>
      <c r="C670" s="116"/>
      <c r="D670" s="116"/>
      <c r="G670" s="107"/>
      <c r="H670" s="49"/>
      <c r="U670" s="49"/>
    </row>
    <row r="671">
      <c r="A671" s="48"/>
      <c r="B671" s="116"/>
      <c r="C671" s="116"/>
      <c r="D671" s="116"/>
      <c r="G671" s="107"/>
      <c r="H671" s="49"/>
      <c r="U671" s="49"/>
    </row>
    <row r="672">
      <c r="A672" s="48"/>
      <c r="B672" s="116"/>
      <c r="C672" s="116"/>
      <c r="D672" s="116"/>
      <c r="G672" s="107"/>
      <c r="H672" s="49"/>
      <c r="U672" s="49"/>
    </row>
    <row r="673">
      <c r="A673" s="48"/>
      <c r="B673" s="116"/>
      <c r="C673" s="116"/>
      <c r="D673" s="116"/>
      <c r="G673" s="107"/>
      <c r="H673" s="49"/>
      <c r="U673" s="49"/>
    </row>
    <row r="674">
      <c r="A674" s="48"/>
      <c r="B674" s="116"/>
      <c r="C674" s="116"/>
      <c r="D674" s="116"/>
      <c r="G674" s="107"/>
      <c r="H674" s="49"/>
      <c r="U674" s="49"/>
    </row>
    <row r="675">
      <c r="A675" s="48"/>
      <c r="B675" s="116"/>
      <c r="C675" s="116"/>
      <c r="D675" s="116"/>
      <c r="G675" s="107"/>
      <c r="H675" s="49"/>
      <c r="U675" s="49"/>
    </row>
    <row r="676">
      <c r="A676" s="48"/>
      <c r="B676" s="116"/>
      <c r="C676" s="116"/>
      <c r="D676" s="116"/>
      <c r="G676" s="107"/>
      <c r="H676" s="49"/>
      <c r="U676" s="49"/>
    </row>
    <row r="677">
      <c r="A677" s="48"/>
      <c r="B677" s="116"/>
      <c r="C677" s="116"/>
      <c r="D677" s="116"/>
      <c r="G677" s="107"/>
      <c r="H677" s="49"/>
      <c r="U677" s="49"/>
    </row>
    <row r="678">
      <c r="A678" s="48"/>
      <c r="B678" s="116"/>
      <c r="C678" s="116"/>
      <c r="D678" s="116"/>
      <c r="G678" s="107"/>
      <c r="H678" s="49"/>
      <c r="U678" s="49"/>
    </row>
    <row r="679">
      <c r="A679" s="48"/>
      <c r="B679" s="116"/>
      <c r="C679" s="116"/>
      <c r="D679" s="116"/>
      <c r="G679" s="107"/>
      <c r="H679" s="49"/>
      <c r="U679" s="49"/>
    </row>
    <row r="680">
      <c r="A680" s="48"/>
      <c r="B680" s="116"/>
      <c r="C680" s="116"/>
      <c r="D680" s="116"/>
      <c r="G680" s="107"/>
      <c r="H680" s="49"/>
      <c r="U680" s="49"/>
    </row>
    <row r="681">
      <c r="A681" s="48"/>
      <c r="B681" s="116"/>
      <c r="C681" s="116"/>
      <c r="D681" s="116"/>
      <c r="G681" s="107"/>
      <c r="H681" s="49"/>
      <c r="U681" s="49"/>
    </row>
    <row r="682">
      <c r="A682" s="48"/>
      <c r="B682" s="116"/>
      <c r="C682" s="116"/>
      <c r="D682" s="116"/>
      <c r="G682" s="107"/>
      <c r="H682" s="49"/>
      <c r="U682" s="49"/>
    </row>
    <row r="683">
      <c r="A683" s="48"/>
      <c r="B683" s="116"/>
      <c r="C683" s="116"/>
      <c r="D683" s="116"/>
      <c r="G683" s="107"/>
      <c r="H683" s="49"/>
      <c r="U683" s="49"/>
    </row>
    <row r="684">
      <c r="A684" s="48"/>
      <c r="B684" s="116"/>
      <c r="C684" s="116"/>
      <c r="D684" s="116"/>
      <c r="G684" s="107"/>
      <c r="H684" s="49"/>
      <c r="U684" s="49"/>
    </row>
    <row r="685">
      <c r="A685" s="48"/>
      <c r="B685" s="116"/>
      <c r="C685" s="116"/>
      <c r="D685" s="116"/>
      <c r="G685" s="107"/>
      <c r="H685" s="49"/>
      <c r="U685" s="49"/>
    </row>
    <row r="686">
      <c r="A686" s="48"/>
      <c r="B686" s="116"/>
      <c r="C686" s="116"/>
      <c r="D686" s="116"/>
      <c r="G686" s="107"/>
      <c r="H686" s="49"/>
      <c r="U686" s="49"/>
    </row>
    <row r="687">
      <c r="A687" s="48"/>
      <c r="B687" s="116"/>
      <c r="C687" s="116"/>
      <c r="D687" s="116"/>
      <c r="G687" s="107"/>
      <c r="H687" s="49"/>
      <c r="U687" s="49"/>
    </row>
    <row r="688">
      <c r="A688" s="48"/>
      <c r="B688" s="116"/>
      <c r="C688" s="116"/>
      <c r="D688" s="116"/>
      <c r="G688" s="107"/>
      <c r="H688" s="49"/>
      <c r="U688" s="49"/>
    </row>
    <row r="689">
      <c r="A689" s="48"/>
      <c r="B689" s="116"/>
      <c r="C689" s="116"/>
      <c r="D689" s="116"/>
      <c r="G689" s="107"/>
      <c r="H689" s="49"/>
      <c r="U689" s="49"/>
    </row>
    <row r="690">
      <c r="A690" s="48"/>
      <c r="B690" s="116"/>
      <c r="C690" s="116"/>
      <c r="D690" s="116"/>
      <c r="G690" s="107"/>
      <c r="H690" s="49"/>
      <c r="U690" s="49"/>
    </row>
    <row r="691">
      <c r="A691" s="48"/>
      <c r="B691" s="116"/>
      <c r="C691" s="116"/>
      <c r="D691" s="116"/>
      <c r="G691" s="107"/>
      <c r="H691" s="49"/>
      <c r="U691" s="49"/>
    </row>
    <row r="692">
      <c r="A692" s="48"/>
      <c r="B692" s="116"/>
      <c r="C692" s="116"/>
      <c r="D692" s="116"/>
      <c r="G692" s="107"/>
      <c r="H692" s="49"/>
      <c r="U692" s="49"/>
    </row>
    <row r="693">
      <c r="A693" s="48"/>
      <c r="B693" s="116"/>
      <c r="C693" s="116"/>
      <c r="D693" s="116"/>
      <c r="G693" s="107"/>
      <c r="H693" s="49"/>
      <c r="U693" s="49"/>
    </row>
    <row r="694">
      <c r="A694" s="48"/>
      <c r="B694" s="116"/>
      <c r="C694" s="116"/>
      <c r="D694" s="116"/>
      <c r="G694" s="107"/>
      <c r="H694" s="49"/>
      <c r="U694" s="49"/>
    </row>
    <row r="695">
      <c r="A695" s="48"/>
      <c r="B695" s="116"/>
      <c r="C695" s="116"/>
      <c r="D695" s="116"/>
      <c r="G695" s="107"/>
      <c r="H695" s="49"/>
      <c r="U695" s="49"/>
    </row>
    <row r="696">
      <c r="A696" s="48"/>
      <c r="B696" s="116"/>
      <c r="C696" s="116"/>
      <c r="D696" s="116"/>
      <c r="G696" s="107"/>
      <c r="H696" s="49"/>
      <c r="U696" s="49"/>
    </row>
    <row r="697">
      <c r="A697" s="48"/>
      <c r="B697" s="116"/>
      <c r="C697" s="116"/>
      <c r="D697" s="116"/>
      <c r="G697" s="107"/>
      <c r="H697" s="49"/>
      <c r="U697" s="49"/>
    </row>
    <row r="698">
      <c r="A698" s="48"/>
      <c r="B698" s="116"/>
      <c r="C698" s="116"/>
      <c r="D698" s="116"/>
      <c r="G698" s="107"/>
      <c r="H698" s="49"/>
      <c r="U698" s="49"/>
    </row>
    <row r="699">
      <c r="A699" s="48"/>
      <c r="B699" s="116"/>
      <c r="C699" s="116"/>
      <c r="D699" s="116"/>
      <c r="G699" s="107"/>
      <c r="H699" s="49"/>
      <c r="U699" s="49"/>
    </row>
    <row r="700">
      <c r="A700" s="48"/>
      <c r="B700" s="116"/>
      <c r="C700" s="116"/>
      <c r="D700" s="116"/>
      <c r="G700" s="107"/>
      <c r="H700" s="49"/>
      <c r="U700" s="49"/>
    </row>
    <row r="701">
      <c r="A701" s="48"/>
      <c r="B701" s="116"/>
      <c r="C701" s="116"/>
      <c r="D701" s="116"/>
      <c r="G701" s="107"/>
      <c r="H701" s="49"/>
      <c r="U701" s="49"/>
    </row>
    <row r="702">
      <c r="A702" s="48"/>
      <c r="B702" s="116"/>
      <c r="C702" s="116"/>
      <c r="D702" s="116"/>
      <c r="G702" s="107"/>
      <c r="H702" s="49"/>
      <c r="U702" s="49"/>
    </row>
    <row r="703">
      <c r="A703" s="48"/>
      <c r="B703" s="116"/>
      <c r="C703" s="116"/>
      <c r="D703" s="116"/>
      <c r="G703" s="107"/>
      <c r="H703" s="49"/>
      <c r="U703" s="49"/>
    </row>
    <row r="704">
      <c r="A704" s="48"/>
      <c r="B704" s="116"/>
      <c r="C704" s="116"/>
      <c r="D704" s="116"/>
      <c r="G704" s="107"/>
      <c r="H704" s="49"/>
      <c r="U704" s="49"/>
    </row>
    <row r="705">
      <c r="A705" s="48"/>
      <c r="B705" s="116"/>
      <c r="C705" s="116"/>
      <c r="D705" s="116"/>
      <c r="G705" s="107"/>
      <c r="H705" s="49"/>
      <c r="U705" s="49"/>
    </row>
    <row r="706">
      <c r="A706" s="48"/>
      <c r="B706" s="116"/>
      <c r="C706" s="116"/>
      <c r="D706" s="116"/>
      <c r="G706" s="107"/>
      <c r="H706" s="49"/>
      <c r="U706" s="49"/>
    </row>
    <row r="707">
      <c r="A707" s="48"/>
      <c r="B707" s="116"/>
      <c r="C707" s="116"/>
      <c r="D707" s="116"/>
      <c r="G707" s="107"/>
      <c r="H707" s="49"/>
      <c r="U707" s="49"/>
    </row>
    <row r="708">
      <c r="A708" s="48"/>
      <c r="B708" s="116"/>
      <c r="C708" s="116"/>
      <c r="D708" s="116"/>
      <c r="G708" s="107"/>
      <c r="H708" s="49"/>
      <c r="U708" s="49"/>
    </row>
    <row r="709">
      <c r="A709" s="48"/>
      <c r="B709" s="116"/>
      <c r="C709" s="116"/>
      <c r="D709" s="116"/>
      <c r="G709" s="107"/>
      <c r="H709" s="49"/>
      <c r="U709" s="49"/>
    </row>
    <row r="710">
      <c r="A710" s="48"/>
      <c r="B710" s="116"/>
      <c r="C710" s="116"/>
      <c r="D710" s="116"/>
      <c r="G710" s="107"/>
      <c r="H710" s="49"/>
      <c r="U710" s="49"/>
    </row>
    <row r="711">
      <c r="A711" s="48"/>
      <c r="B711" s="116"/>
      <c r="C711" s="116"/>
      <c r="D711" s="116"/>
      <c r="G711" s="107"/>
      <c r="H711" s="49"/>
      <c r="U711" s="49"/>
    </row>
    <row r="712">
      <c r="A712" s="48"/>
      <c r="B712" s="116"/>
      <c r="C712" s="116"/>
      <c r="D712" s="116"/>
      <c r="G712" s="107"/>
      <c r="H712" s="49"/>
      <c r="U712" s="49"/>
    </row>
    <row r="713">
      <c r="A713" s="48"/>
      <c r="B713" s="116"/>
      <c r="C713" s="116"/>
      <c r="D713" s="116"/>
      <c r="G713" s="107"/>
      <c r="H713" s="49"/>
      <c r="U713" s="49"/>
    </row>
    <row r="714">
      <c r="A714" s="48"/>
      <c r="B714" s="116"/>
      <c r="C714" s="116"/>
      <c r="D714" s="116"/>
      <c r="G714" s="107"/>
      <c r="H714" s="49"/>
      <c r="U714" s="49"/>
    </row>
    <row r="715">
      <c r="A715" s="48"/>
      <c r="B715" s="116"/>
      <c r="C715" s="116"/>
      <c r="D715" s="116"/>
      <c r="G715" s="107"/>
      <c r="H715" s="49"/>
      <c r="U715" s="49"/>
    </row>
    <row r="716">
      <c r="A716" s="48"/>
      <c r="B716" s="116"/>
      <c r="C716" s="116"/>
      <c r="D716" s="116"/>
      <c r="G716" s="107"/>
      <c r="H716" s="49"/>
      <c r="U716" s="49"/>
    </row>
    <row r="717">
      <c r="A717" s="48"/>
      <c r="B717" s="116"/>
      <c r="C717" s="116"/>
      <c r="D717" s="116"/>
      <c r="G717" s="107"/>
      <c r="H717" s="49"/>
      <c r="U717" s="49"/>
    </row>
    <row r="718">
      <c r="A718" s="48"/>
      <c r="B718" s="116"/>
      <c r="C718" s="116"/>
      <c r="D718" s="116"/>
      <c r="G718" s="107"/>
      <c r="H718" s="49"/>
      <c r="U718" s="49"/>
    </row>
    <row r="719">
      <c r="A719" s="48"/>
      <c r="B719" s="116"/>
      <c r="C719" s="116"/>
      <c r="D719" s="116"/>
      <c r="G719" s="107"/>
      <c r="H719" s="49"/>
      <c r="U719" s="49"/>
    </row>
    <row r="720">
      <c r="A720" s="48"/>
      <c r="B720" s="116"/>
      <c r="C720" s="116"/>
      <c r="D720" s="116"/>
      <c r="G720" s="107"/>
      <c r="H720" s="49"/>
      <c r="U720" s="49"/>
    </row>
    <row r="721">
      <c r="A721" s="48"/>
      <c r="B721" s="116"/>
      <c r="C721" s="116"/>
      <c r="D721" s="116"/>
      <c r="G721" s="107"/>
      <c r="H721" s="49"/>
      <c r="U721" s="49"/>
    </row>
    <row r="722">
      <c r="A722" s="48"/>
      <c r="B722" s="116"/>
      <c r="C722" s="116"/>
      <c r="D722" s="116"/>
      <c r="G722" s="107"/>
      <c r="H722" s="49"/>
      <c r="U722" s="49"/>
    </row>
    <row r="723">
      <c r="A723" s="48"/>
      <c r="B723" s="116"/>
      <c r="C723" s="116"/>
      <c r="D723" s="116"/>
      <c r="G723" s="107"/>
      <c r="H723" s="49"/>
      <c r="U723" s="49"/>
    </row>
    <row r="724">
      <c r="A724" s="48"/>
      <c r="B724" s="116"/>
      <c r="C724" s="116"/>
      <c r="D724" s="116"/>
      <c r="G724" s="107"/>
      <c r="H724" s="49"/>
      <c r="U724" s="49"/>
    </row>
    <row r="725">
      <c r="A725" s="48"/>
      <c r="B725" s="116"/>
      <c r="C725" s="116"/>
      <c r="D725" s="116"/>
      <c r="G725" s="107"/>
      <c r="H725" s="49"/>
      <c r="U725" s="49"/>
    </row>
    <row r="726">
      <c r="A726" s="48"/>
      <c r="B726" s="116"/>
      <c r="C726" s="116"/>
      <c r="D726" s="116"/>
      <c r="G726" s="107"/>
      <c r="H726" s="49"/>
      <c r="U726" s="49"/>
    </row>
    <row r="727">
      <c r="A727" s="48"/>
      <c r="B727" s="116"/>
      <c r="C727" s="116"/>
      <c r="D727" s="116"/>
      <c r="G727" s="107"/>
      <c r="H727" s="49"/>
      <c r="U727" s="49"/>
    </row>
    <row r="728">
      <c r="A728" s="48"/>
      <c r="B728" s="116"/>
      <c r="C728" s="116"/>
      <c r="D728" s="116"/>
      <c r="G728" s="107"/>
      <c r="H728" s="49"/>
      <c r="U728" s="49"/>
    </row>
    <row r="729">
      <c r="A729" s="48"/>
      <c r="B729" s="116"/>
      <c r="C729" s="116"/>
      <c r="D729" s="116"/>
      <c r="G729" s="107"/>
      <c r="H729" s="49"/>
      <c r="U729" s="49"/>
    </row>
    <row r="730">
      <c r="A730" s="48"/>
      <c r="B730" s="116"/>
      <c r="C730" s="116"/>
      <c r="D730" s="116"/>
      <c r="G730" s="107"/>
      <c r="H730" s="49"/>
      <c r="U730" s="49"/>
    </row>
    <row r="731">
      <c r="A731" s="48"/>
      <c r="B731" s="116"/>
      <c r="C731" s="116"/>
      <c r="D731" s="116"/>
      <c r="G731" s="107"/>
      <c r="H731" s="49"/>
      <c r="U731" s="49"/>
    </row>
    <row r="732">
      <c r="A732" s="48"/>
      <c r="B732" s="116"/>
      <c r="C732" s="116"/>
      <c r="D732" s="116"/>
      <c r="G732" s="107"/>
      <c r="H732" s="49"/>
      <c r="U732" s="49"/>
    </row>
    <row r="733">
      <c r="A733" s="48"/>
      <c r="B733" s="116"/>
      <c r="C733" s="116"/>
      <c r="D733" s="116"/>
      <c r="G733" s="107"/>
      <c r="H733" s="49"/>
      <c r="U733" s="49"/>
    </row>
    <row r="734">
      <c r="A734" s="48"/>
      <c r="B734" s="116"/>
      <c r="C734" s="116"/>
      <c r="D734" s="116"/>
      <c r="G734" s="107"/>
      <c r="H734" s="49"/>
      <c r="U734" s="49"/>
    </row>
    <row r="735">
      <c r="A735" s="48"/>
      <c r="B735" s="116"/>
      <c r="C735" s="116"/>
      <c r="D735" s="116"/>
      <c r="G735" s="107"/>
      <c r="H735" s="49"/>
      <c r="U735" s="49"/>
    </row>
    <row r="736">
      <c r="A736" s="48"/>
      <c r="B736" s="116"/>
      <c r="C736" s="116"/>
      <c r="D736" s="116"/>
      <c r="G736" s="107"/>
      <c r="H736" s="49"/>
      <c r="U736" s="49"/>
    </row>
    <row r="737">
      <c r="A737" s="48"/>
      <c r="B737" s="116"/>
      <c r="C737" s="116"/>
      <c r="D737" s="116"/>
      <c r="G737" s="107"/>
      <c r="H737" s="49"/>
      <c r="U737" s="49"/>
    </row>
    <row r="738">
      <c r="A738" s="48"/>
      <c r="B738" s="116"/>
      <c r="C738" s="116"/>
      <c r="D738" s="116"/>
      <c r="G738" s="107"/>
      <c r="H738" s="49"/>
      <c r="U738" s="49"/>
    </row>
    <row r="739">
      <c r="A739" s="48"/>
      <c r="B739" s="116"/>
      <c r="C739" s="116"/>
      <c r="D739" s="116"/>
      <c r="G739" s="107"/>
      <c r="H739" s="49"/>
      <c r="U739" s="49"/>
    </row>
    <row r="740">
      <c r="A740" s="48"/>
      <c r="B740" s="116"/>
      <c r="C740" s="116"/>
      <c r="D740" s="116"/>
      <c r="G740" s="107"/>
      <c r="H740" s="49"/>
      <c r="U740" s="49"/>
    </row>
    <row r="741">
      <c r="A741" s="48"/>
      <c r="B741" s="116"/>
      <c r="C741" s="116"/>
      <c r="D741" s="116"/>
      <c r="G741" s="107"/>
      <c r="H741" s="49"/>
      <c r="U741" s="49"/>
    </row>
    <row r="742">
      <c r="A742" s="48"/>
      <c r="B742" s="116"/>
      <c r="C742" s="116"/>
      <c r="D742" s="116"/>
      <c r="G742" s="107"/>
      <c r="H742" s="49"/>
      <c r="U742" s="49"/>
    </row>
    <row r="743">
      <c r="A743" s="48"/>
      <c r="B743" s="116"/>
      <c r="C743" s="116"/>
      <c r="D743" s="116"/>
      <c r="G743" s="107"/>
      <c r="H743" s="49"/>
      <c r="U743" s="49"/>
    </row>
    <row r="744">
      <c r="A744" s="48"/>
      <c r="B744" s="116"/>
      <c r="C744" s="116"/>
      <c r="D744" s="116"/>
      <c r="G744" s="107"/>
      <c r="H744" s="49"/>
      <c r="U744" s="49"/>
    </row>
    <row r="745">
      <c r="A745" s="48"/>
      <c r="B745" s="116"/>
      <c r="C745" s="116"/>
      <c r="D745" s="116"/>
      <c r="G745" s="107"/>
      <c r="H745" s="49"/>
      <c r="U745" s="49"/>
    </row>
    <row r="746">
      <c r="A746" s="48"/>
      <c r="B746" s="116"/>
      <c r="C746" s="116"/>
      <c r="D746" s="116"/>
      <c r="G746" s="107"/>
      <c r="H746" s="49"/>
      <c r="U746" s="49"/>
    </row>
    <row r="747">
      <c r="A747" s="48"/>
      <c r="B747" s="116"/>
      <c r="C747" s="116"/>
      <c r="D747" s="116"/>
      <c r="G747" s="107"/>
      <c r="H747" s="49"/>
      <c r="U747" s="49"/>
    </row>
    <row r="748">
      <c r="A748" s="48"/>
      <c r="B748" s="116"/>
      <c r="C748" s="116"/>
      <c r="D748" s="116"/>
      <c r="G748" s="107"/>
      <c r="H748" s="49"/>
      <c r="U748" s="49"/>
    </row>
    <row r="749">
      <c r="A749" s="48"/>
      <c r="B749" s="116"/>
      <c r="C749" s="116"/>
      <c r="D749" s="116"/>
      <c r="G749" s="107"/>
      <c r="H749" s="49"/>
      <c r="U749" s="49"/>
    </row>
    <row r="750">
      <c r="A750" s="48"/>
      <c r="B750" s="116"/>
      <c r="C750" s="116"/>
      <c r="D750" s="116"/>
      <c r="G750" s="107"/>
      <c r="H750" s="49"/>
      <c r="U750" s="49"/>
    </row>
    <row r="751">
      <c r="A751" s="48"/>
      <c r="B751" s="116"/>
      <c r="C751" s="116"/>
      <c r="D751" s="116"/>
      <c r="G751" s="107"/>
      <c r="H751" s="49"/>
      <c r="U751" s="49"/>
    </row>
    <row r="752">
      <c r="A752" s="48"/>
      <c r="B752" s="116"/>
      <c r="C752" s="116"/>
      <c r="D752" s="116"/>
      <c r="G752" s="107"/>
      <c r="H752" s="49"/>
      <c r="U752" s="49"/>
    </row>
    <row r="753">
      <c r="A753" s="48"/>
      <c r="B753" s="116"/>
      <c r="C753" s="116"/>
      <c r="D753" s="116"/>
      <c r="G753" s="107"/>
      <c r="H753" s="49"/>
      <c r="U753" s="49"/>
    </row>
    <row r="754">
      <c r="A754" s="48"/>
      <c r="B754" s="116"/>
      <c r="C754" s="116"/>
      <c r="D754" s="116"/>
      <c r="G754" s="107"/>
      <c r="H754" s="49"/>
      <c r="U754" s="49"/>
    </row>
    <row r="755">
      <c r="A755" s="48"/>
      <c r="B755" s="116"/>
      <c r="C755" s="116"/>
      <c r="D755" s="116"/>
      <c r="G755" s="107"/>
      <c r="H755" s="49"/>
      <c r="U755" s="49"/>
    </row>
    <row r="756">
      <c r="A756" s="48"/>
      <c r="B756" s="116"/>
      <c r="C756" s="116"/>
      <c r="D756" s="116"/>
      <c r="G756" s="107"/>
      <c r="H756" s="49"/>
      <c r="U756" s="49"/>
    </row>
    <row r="757">
      <c r="A757" s="48"/>
      <c r="B757" s="116"/>
      <c r="C757" s="116"/>
      <c r="D757" s="116"/>
      <c r="G757" s="107"/>
      <c r="H757" s="49"/>
      <c r="U757" s="49"/>
    </row>
    <row r="758">
      <c r="A758" s="48"/>
      <c r="B758" s="116"/>
      <c r="C758" s="116"/>
      <c r="D758" s="116"/>
      <c r="G758" s="107"/>
      <c r="H758" s="49"/>
      <c r="U758" s="49"/>
    </row>
    <row r="759">
      <c r="A759" s="48"/>
      <c r="B759" s="116"/>
      <c r="C759" s="116"/>
      <c r="D759" s="116"/>
      <c r="G759" s="107"/>
      <c r="H759" s="49"/>
      <c r="U759" s="49"/>
    </row>
    <row r="760">
      <c r="A760" s="48"/>
      <c r="B760" s="116"/>
      <c r="C760" s="116"/>
      <c r="D760" s="116"/>
      <c r="G760" s="107"/>
      <c r="H760" s="49"/>
      <c r="U760" s="49"/>
    </row>
    <row r="761">
      <c r="A761" s="48"/>
      <c r="B761" s="116"/>
      <c r="C761" s="116"/>
      <c r="D761" s="116"/>
      <c r="G761" s="107"/>
      <c r="H761" s="49"/>
      <c r="U761" s="49"/>
    </row>
    <row r="762">
      <c r="A762" s="48"/>
      <c r="B762" s="116"/>
      <c r="C762" s="116"/>
      <c r="D762" s="116"/>
      <c r="G762" s="107"/>
      <c r="H762" s="49"/>
      <c r="U762" s="49"/>
    </row>
    <row r="763">
      <c r="A763" s="48"/>
      <c r="B763" s="116"/>
      <c r="C763" s="116"/>
      <c r="D763" s="116"/>
      <c r="G763" s="107"/>
      <c r="H763" s="49"/>
      <c r="U763" s="49"/>
    </row>
    <row r="764">
      <c r="A764" s="48"/>
      <c r="B764" s="116"/>
      <c r="C764" s="116"/>
      <c r="D764" s="116"/>
      <c r="G764" s="107"/>
      <c r="H764" s="49"/>
      <c r="U764" s="49"/>
    </row>
    <row r="765">
      <c r="A765" s="48"/>
      <c r="B765" s="116"/>
      <c r="C765" s="116"/>
      <c r="D765" s="116"/>
      <c r="G765" s="107"/>
      <c r="H765" s="49"/>
      <c r="U765" s="49"/>
    </row>
    <row r="766">
      <c r="A766" s="48"/>
      <c r="B766" s="116"/>
      <c r="C766" s="116"/>
      <c r="D766" s="116"/>
      <c r="G766" s="107"/>
      <c r="H766" s="49"/>
      <c r="U766" s="49"/>
    </row>
    <row r="767">
      <c r="A767" s="48"/>
      <c r="B767" s="116"/>
      <c r="C767" s="116"/>
      <c r="D767" s="116"/>
      <c r="G767" s="107"/>
      <c r="H767" s="49"/>
      <c r="U767" s="49"/>
    </row>
    <row r="768">
      <c r="A768" s="48"/>
      <c r="B768" s="116"/>
      <c r="C768" s="116"/>
      <c r="D768" s="116"/>
      <c r="G768" s="107"/>
      <c r="H768" s="49"/>
      <c r="U768" s="49"/>
    </row>
    <row r="769">
      <c r="A769" s="48"/>
      <c r="B769" s="116"/>
      <c r="C769" s="116"/>
      <c r="D769" s="116"/>
      <c r="G769" s="107"/>
      <c r="H769" s="49"/>
      <c r="U769" s="49"/>
    </row>
    <row r="770">
      <c r="A770" s="48"/>
      <c r="B770" s="116"/>
      <c r="C770" s="116"/>
      <c r="D770" s="116"/>
      <c r="G770" s="107"/>
      <c r="H770" s="49"/>
      <c r="U770" s="49"/>
    </row>
    <row r="771">
      <c r="A771" s="48"/>
      <c r="B771" s="116"/>
      <c r="C771" s="116"/>
      <c r="D771" s="116"/>
      <c r="G771" s="107"/>
      <c r="H771" s="49"/>
      <c r="U771" s="49"/>
    </row>
    <row r="772">
      <c r="A772" s="48"/>
      <c r="B772" s="116"/>
      <c r="C772" s="116"/>
      <c r="D772" s="116"/>
      <c r="G772" s="107"/>
      <c r="H772" s="49"/>
      <c r="U772" s="49"/>
    </row>
    <row r="773">
      <c r="A773" s="48"/>
      <c r="B773" s="116"/>
      <c r="C773" s="116"/>
      <c r="D773" s="116"/>
      <c r="G773" s="107"/>
      <c r="H773" s="49"/>
      <c r="U773" s="49"/>
    </row>
    <row r="774">
      <c r="A774" s="48"/>
      <c r="B774" s="116"/>
      <c r="C774" s="116"/>
      <c r="D774" s="116"/>
      <c r="G774" s="107"/>
      <c r="H774" s="49"/>
      <c r="U774" s="49"/>
    </row>
    <row r="775">
      <c r="A775" s="48"/>
      <c r="B775" s="116"/>
      <c r="C775" s="116"/>
      <c r="D775" s="116"/>
      <c r="G775" s="107"/>
      <c r="H775" s="49"/>
      <c r="U775" s="49"/>
    </row>
    <row r="776">
      <c r="A776" s="48"/>
      <c r="B776" s="116"/>
      <c r="C776" s="116"/>
      <c r="D776" s="116"/>
      <c r="G776" s="107"/>
      <c r="H776" s="49"/>
      <c r="U776" s="49"/>
    </row>
    <row r="777">
      <c r="A777" s="48"/>
      <c r="B777" s="116"/>
      <c r="C777" s="116"/>
      <c r="D777" s="116"/>
      <c r="G777" s="107"/>
      <c r="H777" s="49"/>
      <c r="U777" s="49"/>
    </row>
    <row r="778">
      <c r="A778" s="48"/>
      <c r="B778" s="116"/>
      <c r="C778" s="116"/>
      <c r="D778" s="116"/>
      <c r="G778" s="107"/>
      <c r="H778" s="49"/>
      <c r="U778" s="49"/>
    </row>
    <row r="779">
      <c r="A779" s="48"/>
      <c r="B779" s="116"/>
      <c r="C779" s="116"/>
      <c r="D779" s="116"/>
      <c r="G779" s="107"/>
      <c r="H779" s="49"/>
      <c r="U779" s="49"/>
    </row>
    <row r="780">
      <c r="A780" s="48"/>
      <c r="B780" s="116"/>
      <c r="C780" s="116"/>
      <c r="D780" s="116"/>
      <c r="G780" s="107"/>
      <c r="H780" s="49"/>
      <c r="U780" s="49"/>
    </row>
    <row r="781">
      <c r="A781" s="48"/>
      <c r="B781" s="116"/>
      <c r="C781" s="116"/>
      <c r="D781" s="116"/>
      <c r="G781" s="107"/>
      <c r="H781" s="49"/>
      <c r="U781" s="49"/>
    </row>
    <row r="782">
      <c r="A782" s="48"/>
      <c r="B782" s="116"/>
      <c r="C782" s="116"/>
      <c r="D782" s="116"/>
      <c r="G782" s="107"/>
      <c r="H782" s="49"/>
      <c r="U782" s="49"/>
    </row>
    <row r="783">
      <c r="A783" s="48"/>
      <c r="B783" s="116"/>
      <c r="C783" s="116"/>
      <c r="D783" s="116"/>
      <c r="G783" s="107"/>
      <c r="H783" s="49"/>
      <c r="U783" s="49"/>
    </row>
    <row r="784">
      <c r="A784" s="48"/>
      <c r="B784" s="116"/>
      <c r="C784" s="116"/>
      <c r="D784" s="116"/>
      <c r="G784" s="107"/>
      <c r="H784" s="49"/>
      <c r="U784" s="49"/>
    </row>
    <row r="785">
      <c r="A785" s="48"/>
      <c r="B785" s="116"/>
      <c r="C785" s="116"/>
      <c r="D785" s="116"/>
      <c r="G785" s="107"/>
      <c r="H785" s="49"/>
      <c r="U785" s="49"/>
    </row>
    <row r="786">
      <c r="A786" s="48"/>
      <c r="B786" s="116"/>
      <c r="C786" s="116"/>
      <c r="D786" s="116"/>
      <c r="G786" s="107"/>
      <c r="H786" s="49"/>
      <c r="U786" s="49"/>
    </row>
    <row r="787">
      <c r="A787" s="48"/>
      <c r="B787" s="116"/>
      <c r="C787" s="116"/>
      <c r="D787" s="116"/>
      <c r="G787" s="107"/>
      <c r="H787" s="49"/>
      <c r="U787" s="49"/>
    </row>
    <row r="788">
      <c r="A788" s="48"/>
      <c r="B788" s="116"/>
      <c r="C788" s="116"/>
      <c r="D788" s="116"/>
      <c r="G788" s="107"/>
      <c r="H788" s="49"/>
      <c r="U788" s="49"/>
    </row>
    <row r="789">
      <c r="A789" s="48"/>
      <c r="B789" s="116"/>
      <c r="C789" s="116"/>
      <c r="D789" s="116"/>
      <c r="G789" s="107"/>
      <c r="H789" s="49"/>
      <c r="U789" s="49"/>
    </row>
    <row r="790">
      <c r="A790" s="48"/>
      <c r="B790" s="116"/>
      <c r="C790" s="116"/>
      <c r="D790" s="116"/>
      <c r="G790" s="107"/>
      <c r="H790" s="49"/>
      <c r="U790" s="49"/>
    </row>
    <row r="791">
      <c r="A791" s="48"/>
      <c r="B791" s="116"/>
      <c r="C791" s="116"/>
      <c r="D791" s="116"/>
      <c r="G791" s="107"/>
      <c r="H791" s="49"/>
      <c r="U791" s="49"/>
    </row>
    <row r="792">
      <c r="A792" s="48"/>
      <c r="B792" s="116"/>
      <c r="C792" s="116"/>
      <c r="D792" s="116"/>
      <c r="G792" s="107"/>
      <c r="H792" s="49"/>
      <c r="U792" s="49"/>
    </row>
    <row r="793">
      <c r="A793" s="48"/>
      <c r="B793" s="116"/>
      <c r="C793" s="116"/>
      <c r="D793" s="116"/>
      <c r="G793" s="107"/>
      <c r="H793" s="49"/>
      <c r="U793" s="49"/>
    </row>
    <row r="794">
      <c r="A794" s="48"/>
      <c r="B794" s="116"/>
      <c r="C794" s="116"/>
      <c r="D794" s="116"/>
      <c r="G794" s="107"/>
      <c r="H794" s="49"/>
      <c r="U794" s="49"/>
    </row>
    <row r="795">
      <c r="A795" s="48"/>
      <c r="B795" s="116"/>
      <c r="C795" s="116"/>
      <c r="D795" s="116"/>
      <c r="G795" s="107"/>
      <c r="H795" s="49"/>
      <c r="U795" s="49"/>
    </row>
    <row r="796">
      <c r="A796" s="48"/>
      <c r="B796" s="116"/>
      <c r="C796" s="116"/>
      <c r="D796" s="116"/>
      <c r="G796" s="107"/>
      <c r="H796" s="49"/>
      <c r="U796" s="49"/>
    </row>
    <row r="797">
      <c r="A797" s="48"/>
      <c r="B797" s="116"/>
      <c r="C797" s="116"/>
      <c r="D797" s="116"/>
      <c r="G797" s="107"/>
      <c r="H797" s="49"/>
      <c r="U797" s="49"/>
    </row>
    <row r="798">
      <c r="A798" s="48"/>
      <c r="B798" s="116"/>
      <c r="C798" s="116"/>
      <c r="D798" s="116"/>
      <c r="G798" s="107"/>
      <c r="H798" s="49"/>
      <c r="U798" s="49"/>
    </row>
    <row r="799">
      <c r="A799" s="48"/>
      <c r="B799" s="116"/>
      <c r="C799" s="116"/>
      <c r="D799" s="116"/>
      <c r="G799" s="107"/>
      <c r="H799" s="49"/>
      <c r="U799" s="49"/>
    </row>
    <row r="800">
      <c r="A800" s="48"/>
      <c r="B800" s="116"/>
      <c r="C800" s="116"/>
      <c r="D800" s="116"/>
      <c r="G800" s="107"/>
      <c r="H800" s="49"/>
      <c r="U800" s="49"/>
    </row>
    <row r="801">
      <c r="A801" s="48"/>
      <c r="B801" s="116"/>
      <c r="C801" s="116"/>
      <c r="D801" s="116"/>
      <c r="G801" s="107"/>
      <c r="H801" s="49"/>
      <c r="U801" s="49"/>
    </row>
    <row r="802">
      <c r="A802" s="48"/>
      <c r="B802" s="116"/>
      <c r="C802" s="116"/>
      <c r="D802" s="116"/>
      <c r="G802" s="107"/>
      <c r="H802" s="49"/>
      <c r="U802" s="49"/>
    </row>
    <row r="803">
      <c r="A803" s="48"/>
      <c r="B803" s="116"/>
      <c r="C803" s="116"/>
      <c r="D803" s="116"/>
      <c r="G803" s="107"/>
      <c r="H803" s="49"/>
      <c r="U803" s="49"/>
    </row>
    <row r="804">
      <c r="A804" s="48"/>
      <c r="B804" s="116"/>
      <c r="C804" s="116"/>
      <c r="D804" s="116"/>
      <c r="G804" s="107"/>
      <c r="H804" s="49"/>
      <c r="U804" s="49"/>
    </row>
    <row r="805">
      <c r="A805" s="48"/>
      <c r="B805" s="116"/>
      <c r="C805" s="116"/>
      <c r="D805" s="116"/>
      <c r="G805" s="107"/>
      <c r="H805" s="49"/>
      <c r="U805" s="49"/>
    </row>
    <row r="806">
      <c r="A806" s="48"/>
      <c r="B806" s="116"/>
      <c r="C806" s="116"/>
      <c r="D806" s="116"/>
      <c r="G806" s="107"/>
      <c r="H806" s="49"/>
      <c r="U806" s="49"/>
    </row>
    <row r="807">
      <c r="A807" s="48"/>
      <c r="B807" s="116"/>
      <c r="C807" s="116"/>
      <c r="D807" s="116"/>
      <c r="G807" s="107"/>
      <c r="H807" s="49"/>
      <c r="U807" s="49"/>
    </row>
    <row r="808">
      <c r="A808" s="48"/>
      <c r="B808" s="116"/>
      <c r="C808" s="116"/>
      <c r="D808" s="116"/>
      <c r="G808" s="107"/>
      <c r="H808" s="49"/>
      <c r="U808" s="49"/>
    </row>
    <row r="809">
      <c r="A809" s="48"/>
      <c r="B809" s="116"/>
      <c r="C809" s="116"/>
      <c r="D809" s="116"/>
      <c r="G809" s="107"/>
      <c r="H809" s="49"/>
      <c r="U809" s="49"/>
    </row>
    <row r="810">
      <c r="A810" s="48"/>
      <c r="B810" s="116"/>
      <c r="C810" s="116"/>
      <c r="D810" s="116"/>
      <c r="G810" s="107"/>
      <c r="H810" s="49"/>
      <c r="U810" s="49"/>
    </row>
    <row r="811">
      <c r="A811" s="48"/>
      <c r="B811" s="116"/>
      <c r="C811" s="116"/>
      <c r="D811" s="116"/>
      <c r="G811" s="107"/>
      <c r="H811" s="49"/>
      <c r="U811" s="49"/>
    </row>
    <row r="812">
      <c r="A812" s="48"/>
      <c r="B812" s="116"/>
      <c r="C812" s="116"/>
      <c r="D812" s="116"/>
      <c r="G812" s="107"/>
      <c r="H812" s="49"/>
      <c r="U812" s="49"/>
    </row>
    <row r="813">
      <c r="A813" s="48"/>
      <c r="B813" s="116"/>
      <c r="C813" s="116"/>
      <c r="D813" s="116"/>
      <c r="G813" s="107"/>
      <c r="H813" s="49"/>
      <c r="U813" s="49"/>
    </row>
    <row r="814">
      <c r="A814" s="48"/>
      <c r="B814" s="116"/>
      <c r="C814" s="116"/>
      <c r="D814" s="116"/>
      <c r="G814" s="107"/>
      <c r="H814" s="49"/>
      <c r="U814" s="49"/>
    </row>
    <row r="815">
      <c r="A815" s="48"/>
      <c r="B815" s="116"/>
      <c r="C815" s="116"/>
      <c r="D815" s="116"/>
      <c r="G815" s="107"/>
      <c r="H815" s="49"/>
      <c r="U815" s="49"/>
    </row>
    <row r="816">
      <c r="A816" s="48"/>
      <c r="B816" s="116"/>
      <c r="C816" s="116"/>
      <c r="D816" s="116"/>
      <c r="G816" s="107"/>
      <c r="H816" s="49"/>
      <c r="U816" s="49"/>
    </row>
    <row r="817">
      <c r="A817" s="48"/>
      <c r="B817" s="116"/>
      <c r="C817" s="116"/>
      <c r="D817" s="116"/>
      <c r="G817" s="107"/>
      <c r="H817" s="49"/>
      <c r="U817" s="49"/>
    </row>
    <row r="818">
      <c r="A818" s="48"/>
      <c r="B818" s="116"/>
      <c r="C818" s="116"/>
      <c r="D818" s="116"/>
      <c r="G818" s="107"/>
      <c r="H818" s="49"/>
      <c r="U818" s="49"/>
    </row>
    <row r="819">
      <c r="A819" s="48"/>
      <c r="B819" s="116"/>
      <c r="C819" s="116"/>
      <c r="D819" s="116"/>
      <c r="G819" s="107"/>
      <c r="H819" s="49"/>
      <c r="U819" s="49"/>
    </row>
    <row r="820">
      <c r="A820" s="48"/>
      <c r="B820" s="116"/>
      <c r="C820" s="116"/>
      <c r="D820" s="116"/>
      <c r="G820" s="107"/>
      <c r="H820" s="49"/>
      <c r="U820" s="49"/>
    </row>
    <row r="821">
      <c r="A821" s="48"/>
      <c r="B821" s="116"/>
      <c r="C821" s="116"/>
      <c r="D821" s="116"/>
      <c r="G821" s="107"/>
      <c r="H821" s="49"/>
      <c r="U821" s="49"/>
    </row>
    <row r="822">
      <c r="A822" s="48"/>
      <c r="B822" s="116"/>
      <c r="C822" s="116"/>
      <c r="D822" s="116"/>
      <c r="G822" s="107"/>
      <c r="H822" s="49"/>
      <c r="U822" s="49"/>
    </row>
    <row r="823">
      <c r="A823" s="48"/>
      <c r="B823" s="116"/>
      <c r="C823" s="116"/>
      <c r="D823" s="116"/>
      <c r="G823" s="107"/>
      <c r="H823" s="49"/>
      <c r="U823" s="49"/>
    </row>
    <row r="824">
      <c r="A824" s="48"/>
      <c r="B824" s="116"/>
      <c r="C824" s="116"/>
      <c r="D824" s="116"/>
      <c r="G824" s="107"/>
      <c r="H824" s="49"/>
      <c r="U824" s="49"/>
    </row>
    <row r="825">
      <c r="A825" s="48"/>
      <c r="B825" s="116"/>
      <c r="C825" s="116"/>
      <c r="D825" s="116"/>
      <c r="G825" s="107"/>
      <c r="H825" s="49"/>
      <c r="U825" s="49"/>
    </row>
    <row r="826">
      <c r="A826" s="48"/>
      <c r="B826" s="116"/>
      <c r="C826" s="116"/>
      <c r="D826" s="116"/>
      <c r="G826" s="107"/>
      <c r="H826" s="49"/>
      <c r="U826" s="49"/>
    </row>
    <row r="827">
      <c r="A827" s="48"/>
      <c r="B827" s="116"/>
      <c r="C827" s="116"/>
      <c r="D827" s="116"/>
      <c r="G827" s="107"/>
      <c r="H827" s="49"/>
      <c r="U827" s="49"/>
    </row>
    <row r="828">
      <c r="A828" s="48"/>
      <c r="B828" s="116"/>
      <c r="C828" s="116"/>
      <c r="D828" s="116"/>
      <c r="G828" s="107"/>
      <c r="H828" s="49"/>
      <c r="U828" s="49"/>
    </row>
    <row r="829">
      <c r="A829" s="48"/>
      <c r="B829" s="116"/>
      <c r="C829" s="116"/>
      <c r="D829" s="116"/>
      <c r="G829" s="107"/>
      <c r="H829" s="49"/>
      <c r="U829" s="49"/>
    </row>
    <row r="830">
      <c r="A830" s="48"/>
      <c r="B830" s="116"/>
      <c r="C830" s="116"/>
      <c r="D830" s="116"/>
      <c r="G830" s="107"/>
      <c r="H830" s="49"/>
      <c r="U830" s="49"/>
    </row>
    <row r="831">
      <c r="A831" s="48"/>
      <c r="B831" s="116"/>
      <c r="C831" s="116"/>
      <c r="D831" s="116"/>
      <c r="G831" s="107"/>
      <c r="H831" s="49"/>
      <c r="U831" s="49"/>
    </row>
    <row r="832">
      <c r="A832" s="48"/>
      <c r="B832" s="116"/>
      <c r="C832" s="116"/>
      <c r="D832" s="116"/>
      <c r="G832" s="107"/>
      <c r="H832" s="49"/>
      <c r="U832" s="49"/>
    </row>
    <row r="833">
      <c r="A833" s="48"/>
      <c r="B833" s="116"/>
      <c r="C833" s="116"/>
      <c r="D833" s="116"/>
      <c r="G833" s="107"/>
      <c r="H833" s="49"/>
      <c r="U833" s="49"/>
    </row>
    <row r="834">
      <c r="A834" s="48"/>
      <c r="B834" s="116"/>
      <c r="C834" s="116"/>
      <c r="D834" s="116"/>
      <c r="G834" s="107"/>
      <c r="H834" s="49"/>
      <c r="U834" s="49"/>
    </row>
    <row r="835">
      <c r="A835" s="48"/>
      <c r="B835" s="116"/>
      <c r="C835" s="116"/>
      <c r="D835" s="116"/>
      <c r="G835" s="107"/>
      <c r="H835" s="49"/>
      <c r="U835" s="49"/>
    </row>
    <row r="836">
      <c r="A836" s="48"/>
      <c r="B836" s="116"/>
      <c r="C836" s="116"/>
      <c r="D836" s="116"/>
      <c r="G836" s="107"/>
      <c r="H836" s="49"/>
      <c r="U836" s="49"/>
    </row>
    <row r="837">
      <c r="A837" s="48"/>
      <c r="B837" s="116"/>
      <c r="C837" s="116"/>
      <c r="D837" s="116"/>
      <c r="G837" s="107"/>
      <c r="H837" s="49"/>
      <c r="U837" s="49"/>
    </row>
    <row r="838">
      <c r="A838" s="48"/>
      <c r="B838" s="116"/>
      <c r="C838" s="116"/>
      <c r="D838" s="116"/>
      <c r="G838" s="107"/>
      <c r="H838" s="49"/>
      <c r="U838" s="49"/>
    </row>
    <row r="839">
      <c r="A839" s="48"/>
      <c r="B839" s="116"/>
      <c r="C839" s="116"/>
      <c r="D839" s="116"/>
      <c r="G839" s="107"/>
      <c r="H839" s="49"/>
      <c r="U839" s="49"/>
    </row>
    <row r="840">
      <c r="A840" s="48"/>
      <c r="B840" s="116"/>
      <c r="C840" s="116"/>
      <c r="D840" s="116"/>
      <c r="G840" s="107"/>
      <c r="H840" s="49"/>
      <c r="U840" s="49"/>
    </row>
    <row r="841">
      <c r="A841" s="48"/>
      <c r="B841" s="116"/>
      <c r="C841" s="116"/>
      <c r="D841" s="116"/>
      <c r="G841" s="107"/>
      <c r="H841" s="49"/>
      <c r="U841" s="49"/>
    </row>
    <row r="842">
      <c r="A842" s="48"/>
      <c r="B842" s="116"/>
      <c r="C842" s="116"/>
      <c r="D842" s="116"/>
      <c r="G842" s="107"/>
      <c r="H842" s="49"/>
      <c r="U842" s="49"/>
    </row>
    <row r="843">
      <c r="A843" s="48"/>
      <c r="B843" s="116"/>
      <c r="C843" s="116"/>
      <c r="D843" s="116"/>
      <c r="G843" s="107"/>
      <c r="H843" s="49"/>
      <c r="U843" s="49"/>
    </row>
    <row r="844">
      <c r="A844" s="48"/>
      <c r="B844" s="116"/>
      <c r="C844" s="116"/>
      <c r="D844" s="116"/>
      <c r="G844" s="107"/>
      <c r="H844" s="49"/>
      <c r="U844" s="49"/>
    </row>
    <row r="845">
      <c r="A845" s="48"/>
      <c r="B845" s="116"/>
      <c r="C845" s="116"/>
      <c r="D845" s="116"/>
      <c r="G845" s="107"/>
      <c r="H845" s="49"/>
      <c r="U845" s="49"/>
    </row>
    <row r="846">
      <c r="A846" s="48"/>
      <c r="B846" s="116"/>
      <c r="C846" s="116"/>
      <c r="D846" s="116"/>
      <c r="G846" s="107"/>
      <c r="H846" s="49"/>
      <c r="U846" s="49"/>
    </row>
    <row r="847">
      <c r="A847" s="48"/>
      <c r="B847" s="116"/>
      <c r="C847" s="116"/>
      <c r="D847" s="116"/>
      <c r="G847" s="107"/>
      <c r="H847" s="49"/>
      <c r="U847" s="49"/>
    </row>
    <row r="848">
      <c r="A848" s="48"/>
      <c r="B848" s="116"/>
      <c r="C848" s="116"/>
      <c r="D848" s="116"/>
      <c r="G848" s="107"/>
      <c r="H848" s="49"/>
      <c r="U848" s="49"/>
    </row>
    <row r="849">
      <c r="A849" s="48"/>
      <c r="B849" s="116"/>
      <c r="C849" s="116"/>
      <c r="D849" s="116"/>
      <c r="G849" s="107"/>
      <c r="H849" s="49"/>
      <c r="U849" s="49"/>
    </row>
    <row r="850">
      <c r="A850" s="48"/>
      <c r="B850" s="116"/>
      <c r="C850" s="116"/>
      <c r="D850" s="116"/>
      <c r="G850" s="107"/>
      <c r="H850" s="49"/>
      <c r="U850" s="49"/>
    </row>
    <row r="851">
      <c r="A851" s="48"/>
      <c r="B851" s="116"/>
      <c r="C851" s="116"/>
      <c r="D851" s="116"/>
      <c r="G851" s="107"/>
      <c r="H851" s="49"/>
      <c r="U851" s="49"/>
    </row>
    <row r="852">
      <c r="A852" s="48"/>
      <c r="B852" s="116"/>
      <c r="C852" s="116"/>
      <c r="D852" s="116"/>
      <c r="G852" s="107"/>
      <c r="H852" s="49"/>
      <c r="U852" s="49"/>
    </row>
    <row r="853">
      <c r="A853" s="48"/>
      <c r="B853" s="116"/>
      <c r="C853" s="116"/>
      <c r="D853" s="116"/>
      <c r="G853" s="107"/>
      <c r="H853" s="49"/>
      <c r="U853" s="49"/>
    </row>
    <row r="854">
      <c r="A854" s="48"/>
      <c r="B854" s="116"/>
      <c r="C854" s="116"/>
      <c r="D854" s="116"/>
      <c r="G854" s="107"/>
      <c r="H854" s="49"/>
      <c r="U854" s="49"/>
    </row>
    <row r="855">
      <c r="A855" s="48"/>
      <c r="B855" s="116"/>
      <c r="C855" s="116"/>
      <c r="D855" s="116"/>
      <c r="G855" s="107"/>
      <c r="H855" s="49"/>
      <c r="U855" s="49"/>
    </row>
    <row r="856">
      <c r="A856" s="48"/>
      <c r="B856" s="116"/>
      <c r="C856" s="116"/>
      <c r="D856" s="116"/>
      <c r="G856" s="107"/>
      <c r="H856" s="49"/>
      <c r="U856" s="49"/>
    </row>
    <row r="857">
      <c r="A857" s="48"/>
      <c r="B857" s="116"/>
      <c r="C857" s="116"/>
      <c r="D857" s="116"/>
      <c r="G857" s="107"/>
      <c r="H857" s="49"/>
      <c r="U857" s="49"/>
    </row>
    <row r="858">
      <c r="A858" s="48"/>
      <c r="B858" s="116"/>
      <c r="C858" s="116"/>
      <c r="D858" s="116"/>
      <c r="G858" s="107"/>
      <c r="H858" s="49"/>
      <c r="U858" s="49"/>
    </row>
    <row r="859">
      <c r="A859" s="48"/>
      <c r="B859" s="116"/>
      <c r="C859" s="116"/>
      <c r="D859" s="116"/>
      <c r="G859" s="107"/>
      <c r="H859" s="49"/>
      <c r="U859" s="49"/>
    </row>
    <row r="860">
      <c r="A860" s="48"/>
      <c r="B860" s="116"/>
      <c r="C860" s="116"/>
      <c r="D860" s="116"/>
      <c r="G860" s="107"/>
      <c r="H860" s="49"/>
      <c r="U860" s="49"/>
    </row>
    <row r="861">
      <c r="A861" s="48"/>
      <c r="B861" s="116"/>
      <c r="C861" s="116"/>
      <c r="D861" s="116"/>
      <c r="G861" s="107"/>
      <c r="H861" s="49"/>
      <c r="U861" s="49"/>
    </row>
    <row r="862">
      <c r="A862" s="48"/>
      <c r="B862" s="116"/>
      <c r="C862" s="116"/>
      <c r="D862" s="116"/>
      <c r="G862" s="107"/>
      <c r="H862" s="49"/>
      <c r="U862" s="49"/>
    </row>
    <row r="863">
      <c r="A863" s="48"/>
      <c r="B863" s="116"/>
      <c r="C863" s="116"/>
      <c r="D863" s="116"/>
      <c r="G863" s="107"/>
      <c r="H863" s="49"/>
      <c r="U863" s="49"/>
    </row>
    <row r="864">
      <c r="A864" s="48"/>
      <c r="B864" s="116"/>
      <c r="C864" s="116"/>
      <c r="D864" s="116"/>
      <c r="G864" s="107"/>
      <c r="H864" s="49"/>
      <c r="U864" s="49"/>
    </row>
    <row r="865">
      <c r="A865" s="48"/>
      <c r="B865" s="116"/>
      <c r="C865" s="116"/>
      <c r="D865" s="116"/>
      <c r="G865" s="107"/>
      <c r="H865" s="49"/>
      <c r="U865" s="49"/>
    </row>
    <row r="866">
      <c r="A866" s="48"/>
      <c r="B866" s="116"/>
      <c r="C866" s="116"/>
      <c r="D866" s="116"/>
      <c r="G866" s="107"/>
      <c r="H866" s="49"/>
      <c r="U866" s="49"/>
    </row>
    <row r="867">
      <c r="A867" s="48"/>
      <c r="B867" s="116"/>
      <c r="C867" s="116"/>
      <c r="D867" s="116"/>
      <c r="G867" s="107"/>
      <c r="H867" s="49"/>
      <c r="U867" s="49"/>
    </row>
    <row r="868">
      <c r="A868" s="48"/>
      <c r="B868" s="116"/>
      <c r="C868" s="116"/>
      <c r="D868" s="116"/>
      <c r="G868" s="107"/>
      <c r="H868" s="49"/>
      <c r="U868" s="49"/>
    </row>
    <row r="869">
      <c r="A869" s="48"/>
      <c r="B869" s="116"/>
      <c r="C869" s="116"/>
      <c r="D869" s="116"/>
      <c r="G869" s="107"/>
      <c r="H869" s="49"/>
      <c r="U869" s="49"/>
    </row>
    <row r="870">
      <c r="A870" s="48"/>
      <c r="B870" s="116"/>
      <c r="C870" s="116"/>
      <c r="D870" s="116"/>
      <c r="G870" s="107"/>
      <c r="H870" s="49"/>
      <c r="U870" s="49"/>
    </row>
    <row r="871">
      <c r="A871" s="48"/>
      <c r="B871" s="116"/>
      <c r="C871" s="116"/>
      <c r="D871" s="116"/>
      <c r="G871" s="107"/>
      <c r="H871" s="49"/>
      <c r="U871" s="49"/>
    </row>
    <row r="872">
      <c r="A872" s="48"/>
      <c r="B872" s="116"/>
      <c r="C872" s="116"/>
      <c r="D872" s="116"/>
      <c r="G872" s="107"/>
      <c r="H872" s="49"/>
      <c r="U872" s="49"/>
    </row>
    <row r="873">
      <c r="A873" s="48"/>
      <c r="B873" s="116"/>
      <c r="C873" s="116"/>
      <c r="D873" s="116"/>
      <c r="G873" s="107"/>
      <c r="H873" s="49"/>
      <c r="U873" s="49"/>
    </row>
    <row r="874">
      <c r="A874" s="48"/>
      <c r="B874" s="116"/>
      <c r="C874" s="116"/>
      <c r="D874" s="116"/>
      <c r="G874" s="107"/>
      <c r="H874" s="49"/>
      <c r="U874" s="49"/>
    </row>
    <row r="875">
      <c r="A875" s="48"/>
      <c r="B875" s="116"/>
      <c r="C875" s="116"/>
      <c r="D875" s="116"/>
      <c r="G875" s="107"/>
      <c r="H875" s="49"/>
      <c r="U875" s="49"/>
    </row>
    <row r="876">
      <c r="A876" s="48"/>
      <c r="B876" s="116"/>
      <c r="C876" s="116"/>
      <c r="D876" s="116"/>
      <c r="G876" s="107"/>
      <c r="H876" s="49"/>
      <c r="U876" s="49"/>
    </row>
    <row r="877">
      <c r="A877" s="48"/>
      <c r="B877" s="116"/>
      <c r="C877" s="116"/>
      <c r="D877" s="116"/>
      <c r="G877" s="107"/>
      <c r="H877" s="49"/>
      <c r="U877" s="49"/>
    </row>
    <row r="878">
      <c r="A878" s="48"/>
      <c r="B878" s="116"/>
      <c r="C878" s="116"/>
      <c r="D878" s="116"/>
      <c r="G878" s="107"/>
      <c r="H878" s="49"/>
      <c r="U878" s="49"/>
    </row>
    <row r="879">
      <c r="A879" s="48"/>
      <c r="B879" s="116"/>
      <c r="C879" s="116"/>
      <c r="D879" s="116"/>
      <c r="G879" s="107"/>
      <c r="H879" s="49"/>
      <c r="U879" s="49"/>
    </row>
    <row r="880">
      <c r="A880" s="48"/>
      <c r="B880" s="116"/>
      <c r="C880" s="116"/>
      <c r="D880" s="116"/>
      <c r="G880" s="107"/>
      <c r="H880" s="49"/>
      <c r="U880" s="49"/>
    </row>
    <row r="881">
      <c r="A881" s="48"/>
      <c r="B881" s="116"/>
      <c r="C881" s="116"/>
      <c r="D881" s="116"/>
      <c r="G881" s="107"/>
      <c r="H881" s="49"/>
      <c r="U881" s="49"/>
    </row>
    <row r="882">
      <c r="A882" s="48"/>
      <c r="B882" s="116"/>
      <c r="C882" s="116"/>
      <c r="D882" s="116"/>
      <c r="G882" s="107"/>
      <c r="H882" s="49"/>
      <c r="U882" s="49"/>
    </row>
    <row r="883">
      <c r="A883" s="48"/>
      <c r="B883" s="116"/>
      <c r="C883" s="116"/>
      <c r="D883" s="116"/>
      <c r="G883" s="107"/>
      <c r="H883" s="49"/>
      <c r="U883" s="49"/>
    </row>
    <row r="884">
      <c r="A884" s="48"/>
      <c r="B884" s="116"/>
      <c r="C884" s="116"/>
      <c r="D884" s="116"/>
      <c r="G884" s="107"/>
      <c r="H884" s="49"/>
      <c r="U884" s="49"/>
    </row>
    <row r="885">
      <c r="A885" s="48"/>
      <c r="B885" s="116"/>
      <c r="C885" s="116"/>
      <c r="D885" s="116"/>
      <c r="G885" s="107"/>
      <c r="H885" s="49"/>
      <c r="U885" s="49"/>
    </row>
    <row r="886">
      <c r="A886" s="48"/>
      <c r="B886" s="116"/>
      <c r="C886" s="116"/>
      <c r="D886" s="116"/>
      <c r="G886" s="107"/>
      <c r="H886" s="49"/>
      <c r="U886" s="49"/>
    </row>
    <row r="887">
      <c r="A887" s="48"/>
      <c r="B887" s="116"/>
      <c r="C887" s="116"/>
      <c r="D887" s="116"/>
      <c r="G887" s="107"/>
      <c r="H887" s="49"/>
      <c r="U887" s="49"/>
    </row>
    <row r="888">
      <c r="A888" s="48"/>
      <c r="B888" s="116"/>
      <c r="C888" s="116"/>
      <c r="D888" s="116"/>
      <c r="G888" s="107"/>
      <c r="H888" s="49"/>
      <c r="U888" s="49"/>
    </row>
    <row r="889">
      <c r="A889" s="48"/>
      <c r="B889" s="116"/>
      <c r="C889" s="116"/>
      <c r="D889" s="116"/>
      <c r="G889" s="107"/>
      <c r="H889" s="49"/>
      <c r="U889" s="49"/>
    </row>
    <row r="890">
      <c r="A890" s="48"/>
      <c r="B890" s="116"/>
      <c r="C890" s="116"/>
      <c r="D890" s="116"/>
      <c r="G890" s="107"/>
      <c r="H890" s="49"/>
      <c r="U890" s="49"/>
    </row>
    <row r="891">
      <c r="A891" s="48"/>
      <c r="B891" s="116"/>
      <c r="C891" s="116"/>
      <c r="D891" s="116"/>
      <c r="G891" s="107"/>
      <c r="H891" s="49"/>
      <c r="U891" s="49"/>
    </row>
    <row r="892">
      <c r="A892" s="48"/>
      <c r="B892" s="116"/>
      <c r="C892" s="116"/>
      <c r="D892" s="116"/>
      <c r="G892" s="107"/>
      <c r="H892" s="49"/>
      <c r="U892" s="49"/>
    </row>
    <row r="893">
      <c r="A893" s="48"/>
      <c r="B893" s="116"/>
      <c r="C893" s="116"/>
      <c r="D893" s="116"/>
      <c r="G893" s="107"/>
      <c r="H893" s="49"/>
      <c r="U893" s="49"/>
    </row>
    <row r="894">
      <c r="A894" s="48"/>
      <c r="B894" s="116"/>
      <c r="C894" s="116"/>
      <c r="D894" s="116"/>
      <c r="G894" s="107"/>
      <c r="H894" s="49"/>
      <c r="U894" s="49"/>
    </row>
    <row r="895">
      <c r="A895" s="48"/>
      <c r="B895" s="116"/>
      <c r="C895" s="116"/>
      <c r="D895" s="116"/>
      <c r="G895" s="107"/>
      <c r="H895" s="49"/>
      <c r="U895" s="49"/>
    </row>
    <row r="896">
      <c r="A896" s="48"/>
      <c r="B896" s="116"/>
      <c r="C896" s="116"/>
      <c r="D896" s="116"/>
      <c r="G896" s="107"/>
      <c r="H896" s="49"/>
      <c r="U896" s="49"/>
    </row>
    <row r="897">
      <c r="A897" s="48"/>
      <c r="B897" s="116"/>
      <c r="C897" s="116"/>
      <c r="D897" s="116"/>
      <c r="G897" s="107"/>
      <c r="H897" s="49"/>
      <c r="U897" s="49"/>
    </row>
    <row r="898">
      <c r="A898" s="48"/>
      <c r="B898" s="116"/>
      <c r="C898" s="116"/>
      <c r="D898" s="116"/>
      <c r="G898" s="107"/>
      <c r="H898" s="49"/>
      <c r="U898" s="49"/>
    </row>
    <row r="899">
      <c r="A899" s="48"/>
      <c r="B899" s="116"/>
      <c r="C899" s="116"/>
      <c r="D899" s="116"/>
      <c r="G899" s="107"/>
      <c r="H899" s="49"/>
      <c r="U899" s="49"/>
    </row>
    <row r="900">
      <c r="A900" s="48"/>
      <c r="B900" s="116"/>
      <c r="C900" s="116"/>
      <c r="D900" s="116"/>
      <c r="G900" s="107"/>
      <c r="H900" s="49"/>
      <c r="U900" s="49"/>
    </row>
    <row r="901">
      <c r="A901" s="48"/>
      <c r="B901" s="116"/>
      <c r="C901" s="116"/>
      <c r="D901" s="116"/>
      <c r="G901" s="107"/>
      <c r="H901" s="49"/>
      <c r="U901" s="49"/>
    </row>
    <row r="902">
      <c r="A902" s="48"/>
      <c r="B902" s="116"/>
      <c r="C902" s="116"/>
      <c r="D902" s="116"/>
      <c r="G902" s="107"/>
      <c r="H902" s="49"/>
      <c r="U902" s="49"/>
    </row>
    <row r="903">
      <c r="A903" s="48"/>
      <c r="B903" s="116"/>
      <c r="C903" s="116"/>
      <c r="D903" s="116"/>
      <c r="G903" s="107"/>
      <c r="H903" s="49"/>
      <c r="U903" s="49"/>
    </row>
    <row r="904">
      <c r="A904" s="48"/>
      <c r="B904" s="116"/>
      <c r="C904" s="116"/>
      <c r="D904" s="116"/>
      <c r="G904" s="107"/>
      <c r="H904" s="49"/>
      <c r="U904" s="49"/>
    </row>
    <row r="905">
      <c r="A905" s="48"/>
      <c r="B905" s="116"/>
      <c r="C905" s="116"/>
      <c r="D905" s="116"/>
      <c r="G905" s="107"/>
      <c r="H905" s="49"/>
      <c r="U905" s="49"/>
    </row>
    <row r="906">
      <c r="A906" s="48"/>
      <c r="B906" s="116"/>
      <c r="C906" s="116"/>
      <c r="D906" s="116"/>
      <c r="G906" s="107"/>
      <c r="H906" s="49"/>
      <c r="U906" s="49"/>
    </row>
    <row r="907">
      <c r="A907" s="48"/>
      <c r="B907" s="116"/>
      <c r="C907" s="116"/>
      <c r="D907" s="116"/>
      <c r="G907" s="107"/>
      <c r="H907" s="49"/>
      <c r="U907" s="49"/>
    </row>
    <row r="908">
      <c r="A908" s="48"/>
      <c r="B908" s="116"/>
      <c r="C908" s="116"/>
      <c r="D908" s="116"/>
      <c r="G908" s="107"/>
      <c r="H908" s="49"/>
      <c r="U908" s="49"/>
    </row>
    <row r="909">
      <c r="A909" s="48"/>
      <c r="B909" s="116"/>
      <c r="C909" s="116"/>
      <c r="D909" s="116"/>
      <c r="G909" s="107"/>
      <c r="H909" s="49"/>
      <c r="U909" s="49"/>
    </row>
    <row r="910">
      <c r="A910" s="48"/>
      <c r="B910" s="116"/>
      <c r="C910" s="116"/>
      <c r="D910" s="116"/>
      <c r="G910" s="107"/>
      <c r="H910" s="49"/>
      <c r="U910" s="49"/>
    </row>
    <row r="911">
      <c r="A911" s="48"/>
      <c r="B911" s="116"/>
      <c r="C911" s="116"/>
      <c r="D911" s="116"/>
      <c r="G911" s="107"/>
      <c r="H911" s="49"/>
      <c r="U911" s="49"/>
    </row>
    <row r="912">
      <c r="A912" s="48"/>
      <c r="B912" s="116"/>
      <c r="C912" s="116"/>
      <c r="D912" s="116"/>
      <c r="G912" s="107"/>
      <c r="H912" s="49"/>
      <c r="U912" s="49"/>
    </row>
    <row r="913">
      <c r="A913" s="48"/>
      <c r="B913" s="116"/>
      <c r="C913" s="116"/>
      <c r="D913" s="116"/>
      <c r="G913" s="107"/>
      <c r="H913" s="49"/>
      <c r="U913" s="49"/>
    </row>
    <row r="914">
      <c r="A914" s="48"/>
      <c r="B914" s="116"/>
      <c r="C914" s="116"/>
      <c r="D914" s="116"/>
      <c r="G914" s="107"/>
      <c r="H914" s="49"/>
      <c r="U914" s="49"/>
    </row>
    <row r="915">
      <c r="A915" s="48"/>
      <c r="B915" s="116"/>
      <c r="C915" s="116"/>
      <c r="D915" s="116"/>
      <c r="G915" s="107"/>
      <c r="H915" s="49"/>
      <c r="U915" s="49"/>
    </row>
    <row r="916">
      <c r="A916" s="48"/>
      <c r="B916" s="116"/>
      <c r="C916" s="116"/>
      <c r="D916" s="116"/>
      <c r="G916" s="107"/>
      <c r="H916" s="49"/>
      <c r="U916" s="49"/>
    </row>
    <row r="917">
      <c r="A917" s="48"/>
      <c r="B917" s="116"/>
      <c r="C917" s="116"/>
      <c r="D917" s="116"/>
      <c r="G917" s="107"/>
      <c r="H917" s="49"/>
      <c r="U917" s="49"/>
    </row>
    <row r="918">
      <c r="A918" s="48"/>
      <c r="B918" s="116"/>
      <c r="C918" s="116"/>
      <c r="D918" s="116"/>
      <c r="G918" s="107"/>
      <c r="H918" s="49"/>
      <c r="U918" s="49"/>
    </row>
    <row r="919">
      <c r="A919" s="48"/>
      <c r="B919" s="116"/>
      <c r="C919" s="116"/>
      <c r="D919" s="116"/>
      <c r="G919" s="107"/>
      <c r="H919" s="49"/>
      <c r="U919" s="49"/>
    </row>
    <row r="920">
      <c r="A920" s="48"/>
      <c r="B920" s="116"/>
      <c r="C920" s="116"/>
      <c r="D920" s="116"/>
      <c r="G920" s="107"/>
      <c r="H920" s="49"/>
      <c r="U920" s="49"/>
    </row>
    <row r="921">
      <c r="A921" s="48"/>
      <c r="B921" s="116"/>
      <c r="C921" s="116"/>
      <c r="D921" s="116"/>
      <c r="G921" s="107"/>
      <c r="H921" s="49"/>
      <c r="U921" s="49"/>
    </row>
    <row r="922">
      <c r="A922" s="48"/>
      <c r="B922" s="116"/>
      <c r="C922" s="116"/>
      <c r="D922" s="116"/>
      <c r="G922" s="107"/>
      <c r="H922" s="49"/>
      <c r="U922" s="49"/>
    </row>
    <row r="923">
      <c r="A923" s="48"/>
      <c r="B923" s="116"/>
      <c r="C923" s="116"/>
      <c r="D923" s="116"/>
      <c r="G923" s="107"/>
      <c r="H923" s="49"/>
      <c r="U923" s="49"/>
    </row>
    <row r="924">
      <c r="A924" s="48"/>
      <c r="B924" s="116"/>
      <c r="C924" s="116"/>
      <c r="D924" s="116"/>
      <c r="G924" s="107"/>
      <c r="H924" s="49"/>
      <c r="U924" s="49"/>
    </row>
    <row r="925">
      <c r="A925" s="48"/>
      <c r="B925" s="116"/>
      <c r="C925" s="116"/>
      <c r="D925" s="116"/>
      <c r="G925" s="107"/>
      <c r="H925" s="49"/>
      <c r="U925" s="49"/>
    </row>
    <row r="926">
      <c r="A926" s="48"/>
      <c r="B926" s="116"/>
      <c r="C926" s="116"/>
      <c r="D926" s="116"/>
      <c r="G926" s="107"/>
      <c r="H926" s="49"/>
      <c r="U926" s="49"/>
    </row>
    <row r="927">
      <c r="A927" s="48"/>
      <c r="B927" s="116"/>
      <c r="C927" s="116"/>
      <c r="D927" s="116"/>
      <c r="G927" s="107"/>
      <c r="H927" s="49"/>
      <c r="U927" s="49"/>
    </row>
    <row r="928">
      <c r="A928" s="48"/>
      <c r="B928" s="116"/>
      <c r="C928" s="116"/>
      <c r="D928" s="116"/>
      <c r="G928" s="107"/>
      <c r="H928" s="49"/>
      <c r="U928" s="49"/>
    </row>
    <row r="929">
      <c r="A929" s="48"/>
      <c r="B929" s="116"/>
      <c r="C929" s="116"/>
      <c r="D929" s="116"/>
      <c r="G929" s="107"/>
      <c r="H929" s="49"/>
      <c r="U929" s="49"/>
    </row>
    <row r="930">
      <c r="A930" s="48"/>
      <c r="B930" s="116"/>
      <c r="C930" s="116"/>
      <c r="D930" s="116"/>
      <c r="G930" s="107"/>
      <c r="H930" s="49"/>
      <c r="U930" s="49"/>
    </row>
    <row r="931">
      <c r="A931" s="48"/>
      <c r="B931" s="116"/>
      <c r="C931" s="116"/>
      <c r="D931" s="116"/>
      <c r="G931" s="107"/>
      <c r="H931" s="49"/>
      <c r="U931" s="49"/>
    </row>
    <row r="932">
      <c r="A932" s="48"/>
      <c r="B932" s="116"/>
      <c r="C932" s="116"/>
      <c r="D932" s="116"/>
      <c r="G932" s="107"/>
      <c r="H932" s="49"/>
      <c r="U932" s="49"/>
    </row>
    <row r="933">
      <c r="A933" s="48"/>
      <c r="B933" s="116"/>
      <c r="C933" s="116"/>
      <c r="D933" s="116"/>
      <c r="G933" s="107"/>
      <c r="H933" s="49"/>
      <c r="U933" s="49"/>
    </row>
    <row r="934">
      <c r="A934" s="48"/>
      <c r="B934" s="116"/>
      <c r="C934" s="116"/>
      <c r="D934" s="116"/>
      <c r="G934" s="107"/>
      <c r="H934" s="49"/>
      <c r="U934" s="49"/>
    </row>
    <row r="935">
      <c r="A935" s="48"/>
      <c r="B935" s="116"/>
      <c r="C935" s="116"/>
      <c r="D935" s="116"/>
      <c r="G935" s="107"/>
      <c r="H935" s="49"/>
      <c r="U935" s="49"/>
    </row>
    <row r="936">
      <c r="A936" s="48"/>
      <c r="B936" s="116"/>
      <c r="C936" s="116"/>
      <c r="D936" s="116"/>
      <c r="G936" s="107"/>
      <c r="H936" s="49"/>
      <c r="U936" s="49"/>
    </row>
    <row r="937">
      <c r="A937" s="48"/>
      <c r="B937" s="116"/>
      <c r="C937" s="116"/>
      <c r="D937" s="116"/>
      <c r="G937" s="107"/>
      <c r="H937" s="49"/>
      <c r="U937" s="49"/>
    </row>
    <row r="938">
      <c r="A938" s="48"/>
      <c r="B938" s="116"/>
      <c r="C938" s="116"/>
      <c r="D938" s="116"/>
      <c r="G938" s="107"/>
      <c r="H938" s="49"/>
      <c r="U938" s="49"/>
    </row>
    <row r="939">
      <c r="A939" s="48"/>
      <c r="B939" s="116"/>
      <c r="C939" s="116"/>
      <c r="D939" s="116"/>
      <c r="G939" s="107"/>
      <c r="H939" s="49"/>
      <c r="U939" s="49"/>
    </row>
    <row r="940">
      <c r="A940" s="48"/>
      <c r="B940" s="116"/>
      <c r="C940" s="116"/>
      <c r="D940" s="116"/>
      <c r="G940" s="107"/>
      <c r="H940" s="49"/>
      <c r="U940" s="49"/>
    </row>
    <row r="941">
      <c r="A941" s="48"/>
      <c r="B941" s="116"/>
      <c r="C941" s="116"/>
      <c r="D941" s="116"/>
      <c r="G941" s="107"/>
      <c r="H941" s="49"/>
      <c r="U941" s="49"/>
    </row>
    <row r="942">
      <c r="A942" s="48"/>
      <c r="B942" s="116"/>
      <c r="C942" s="116"/>
      <c r="D942" s="116"/>
      <c r="G942" s="107"/>
      <c r="H942" s="49"/>
      <c r="U942" s="49"/>
    </row>
    <row r="943">
      <c r="A943" s="48"/>
      <c r="B943" s="116"/>
      <c r="C943" s="116"/>
      <c r="D943" s="116"/>
      <c r="G943" s="107"/>
      <c r="H943" s="49"/>
      <c r="U943" s="49"/>
    </row>
    <row r="944">
      <c r="A944" s="48"/>
      <c r="B944" s="116"/>
      <c r="C944" s="116"/>
      <c r="D944" s="116"/>
      <c r="G944" s="107"/>
      <c r="H944" s="49"/>
      <c r="U944" s="49"/>
    </row>
    <row r="945">
      <c r="A945" s="48"/>
      <c r="B945" s="116"/>
      <c r="C945" s="116"/>
      <c r="D945" s="116"/>
      <c r="G945" s="107"/>
      <c r="H945" s="49"/>
      <c r="U945" s="49"/>
    </row>
    <row r="946">
      <c r="A946" s="48"/>
      <c r="B946" s="116"/>
      <c r="C946" s="116"/>
      <c r="D946" s="116"/>
      <c r="G946" s="107"/>
      <c r="H946" s="49"/>
      <c r="U946" s="49"/>
    </row>
    <row r="947">
      <c r="A947" s="48"/>
      <c r="B947" s="116"/>
      <c r="C947" s="116"/>
      <c r="D947" s="116"/>
      <c r="G947" s="107"/>
      <c r="H947" s="49"/>
      <c r="U947" s="49"/>
    </row>
    <row r="948">
      <c r="A948" s="48"/>
      <c r="B948" s="116"/>
      <c r="C948" s="116"/>
      <c r="D948" s="116"/>
      <c r="G948" s="107"/>
      <c r="H948" s="49"/>
      <c r="U948" s="49"/>
    </row>
    <row r="949">
      <c r="A949" s="48"/>
      <c r="B949" s="116"/>
      <c r="C949" s="116"/>
      <c r="D949" s="116"/>
      <c r="G949" s="107"/>
      <c r="H949" s="49"/>
      <c r="U949" s="49"/>
    </row>
    <row r="950">
      <c r="A950" s="48"/>
      <c r="B950" s="116"/>
      <c r="C950" s="116"/>
      <c r="D950" s="116"/>
      <c r="G950" s="107"/>
      <c r="H950" s="49"/>
      <c r="U950" s="49"/>
    </row>
    <row r="951">
      <c r="A951" s="48"/>
      <c r="B951" s="116"/>
      <c r="C951" s="116"/>
      <c r="D951" s="116"/>
      <c r="G951" s="107"/>
      <c r="H951" s="49"/>
      <c r="U951" s="49"/>
    </row>
    <row r="952">
      <c r="A952" s="48"/>
      <c r="B952" s="116"/>
      <c r="C952" s="116"/>
      <c r="D952" s="116"/>
      <c r="G952" s="107"/>
      <c r="H952" s="49"/>
      <c r="U952" s="49"/>
    </row>
    <row r="953">
      <c r="A953" s="48"/>
      <c r="B953" s="116"/>
      <c r="C953" s="116"/>
      <c r="D953" s="116"/>
      <c r="G953" s="107"/>
      <c r="H953" s="49"/>
      <c r="U953" s="49"/>
    </row>
    <row r="954">
      <c r="A954" s="48"/>
      <c r="B954" s="116"/>
      <c r="C954" s="116"/>
      <c r="D954" s="116"/>
      <c r="G954" s="107"/>
      <c r="H954" s="49"/>
      <c r="U954" s="49"/>
    </row>
    <row r="955">
      <c r="A955" s="48"/>
      <c r="B955" s="116"/>
      <c r="C955" s="116"/>
      <c r="D955" s="116"/>
      <c r="G955" s="107"/>
      <c r="H955" s="49"/>
      <c r="U955" s="49"/>
    </row>
    <row r="956">
      <c r="A956" s="48"/>
      <c r="B956" s="116"/>
      <c r="C956" s="116"/>
      <c r="D956" s="116"/>
      <c r="G956" s="107"/>
      <c r="H956" s="49"/>
      <c r="U956" s="49"/>
    </row>
    <row r="957">
      <c r="A957" s="48"/>
      <c r="B957" s="116"/>
      <c r="C957" s="116"/>
      <c r="D957" s="116"/>
      <c r="G957" s="107"/>
      <c r="H957" s="49"/>
      <c r="U957" s="49"/>
    </row>
    <row r="958">
      <c r="A958" s="48"/>
      <c r="B958" s="116"/>
      <c r="C958" s="116"/>
      <c r="D958" s="116"/>
      <c r="G958" s="107"/>
      <c r="H958" s="49"/>
      <c r="U958" s="49"/>
    </row>
    <row r="959">
      <c r="A959" s="48"/>
      <c r="B959" s="116"/>
      <c r="C959" s="116"/>
      <c r="D959" s="116"/>
      <c r="G959" s="107"/>
      <c r="H959" s="49"/>
      <c r="U959" s="49"/>
    </row>
    <row r="960">
      <c r="A960" s="48"/>
      <c r="B960" s="116"/>
      <c r="C960" s="116"/>
      <c r="D960" s="116"/>
      <c r="G960" s="107"/>
      <c r="H960" s="49"/>
      <c r="U960" s="49"/>
    </row>
    <row r="961">
      <c r="A961" s="48"/>
      <c r="B961" s="116"/>
      <c r="C961" s="116"/>
      <c r="D961" s="116"/>
      <c r="G961" s="107"/>
      <c r="H961" s="49"/>
      <c r="U961" s="49"/>
    </row>
    <row r="962">
      <c r="A962" s="48"/>
      <c r="B962" s="116"/>
      <c r="C962" s="116"/>
      <c r="D962" s="116"/>
      <c r="G962" s="107"/>
      <c r="H962" s="49"/>
      <c r="U962" s="49"/>
    </row>
    <row r="963">
      <c r="A963" s="48"/>
      <c r="B963" s="116"/>
      <c r="C963" s="116"/>
      <c r="D963" s="116"/>
      <c r="G963" s="107"/>
      <c r="H963" s="49"/>
      <c r="U963" s="49"/>
    </row>
    <row r="964">
      <c r="A964" s="48"/>
      <c r="B964" s="116"/>
      <c r="C964" s="116"/>
      <c r="D964" s="116"/>
      <c r="G964" s="107"/>
      <c r="H964" s="49"/>
      <c r="U964" s="49"/>
    </row>
    <row r="965">
      <c r="A965" s="48"/>
      <c r="B965" s="116"/>
      <c r="C965" s="116"/>
      <c r="D965" s="116"/>
      <c r="G965" s="107"/>
      <c r="H965" s="49"/>
      <c r="U965" s="49"/>
    </row>
    <row r="966">
      <c r="A966" s="48"/>
      <c r="B966" s="116"/>
      <c r="C966" s="116"/>
      <c r="D966" s="116"/>
      <c r="G966" s="107"/>
      <c r="H966" s="49"/>
      <c r="U966" s="49"/>
    </row>
    <row r="967">
      <c r="A967" s="48"/>
      <c r="B967" s="116"/>
      <c r="C967" s="116"/>
      <c r="D967" s="116"/>
      <c r="G967" s="107"/>
      <c r="H967" s="49"/>
      <c r="U967" s="49"/>
    </row>
    <row r="968">
      <c r="A968" s="48"/>
      <c r="B968" s="116"/>
      <c r="C968" s="116"/>
      <c r="D968" s="116"/>
      <c r="G968" s="107"/>
      <c r="H968" s="49"/>
      <c r="U968" s="49"/>
    </row>
    <row r="969">
      <c r="A969" s="48"/>
      <c r="B969" s="116"/>
      <c r="C969" s="116"/>
      <c r="D969" s="116"/>
      <c r="G969" s="107"/>
      <c r="H969" s="49"/>
      <c r="U969" s="49"/>
    </row>
    <row r="970">
      <c r="A970" s="48"/>
      <c r="B970" s="116"/>
      <c r="C970" s="116"/>
      <c r="D970" s="116"/>
      <c r="G970" s="107"/>
      <c r="H970" s="49"/>
      <c r="U970" s="49"/>
    </row>
    <row r="971">
      <c r="A971" s="48"/>
      <c r="B971" s="116"/>
      <c r="C971" s="116"/>
      <c r="D971" s="116"/>
      <c r="G971" s="107"/>
      <c r="H971" s="49"/>
      <c r="U971" s="49"/>
    </row>
    <row r="972">
      <c r="A972" s="48"/>
      <c r="B972" s="116"/>
      <c r="C972" s="116"/>
      <c r="D972" s="116"/>
      <c r="G972" s="107"/>
      <c r="H972" s="49"/>
      <c r="U972" s="49"/>
    </row>
    <row r="973">
      <c r="A973" s="48"/>
      <c r="B973" s="116"/>
      <c r="C973" s="116"/>
      <c r="D973" s="116"/>
      <c r="G973" s="107"/>
      <c r="H973" s="49"/>
      <c r="U973" s="49"/>
    </row>
    <row r="974">
      <c r="A974" s="48"/>
      <c r="B974" s="116"/>
      <c r="C974" s="116"/>
      <c r="D974" s="116"/>
      <c r="G974" s="107"/>
      <c r="H974" s="49"/>
      <c r="U974" s="49"/>
    </row>
    <row r="975">
      <c r="A975" s="48"/>
      <c r="B975" s="116"/>
      <c r="C975" s="116"/>
      <c r="D975" s="116"/>
      <c r="G975" s="107"/>
      <c r="H975" s="49"/>
      <c r="U975" s="49"/>
    </row>
    <row r="976">
      <c r="A976" s="48"/>
      <c r="B976" s="116"/>
      <c r="C976" s="116"/>
      <c r="D976" s="116"/>
      <c r="G976" s="107"/>
      <c r="H976" s="49"/>
      <c r="U976" s="49"/>
    </row>
    <row r="977">
      <c r="A977" s="48"/>
      <c r="B977" s="116"/>
      <c r="C977" s="116"/>
      <c r="D977" s="116"/>
      <c r="G977" s="107"/>
      <c r="H977" s="49"/>
      <c r="U977" s="49"/>
    </row>
    <row r="978">
      <c r="A978" s="48"/>
      <c r="B978" s="116"/>
      <c r="C978" s="116"/>
      <c r="D978" s="116"/>
      <c r="G978" s="107"/>
      <c r="H978" s="49"/>
      <c r="U978" s="49"/>
    </row>
    <row r="979">
      <c r="A979" s="48"/>
      <c r="B979" s="116"/>
      <c r="C979" s="116"/>
      <c r="D979" s="116"/>
      <c r="G979" s="107"/>
      <c r="H979" s="49"/>
      <c r="U979" s="49"/>
    </row>
    <row r="980">
      <c r="A980" s="48"/>
      <c r="B980" s="116"/>
      <c r="C980" s="116"/>
      <c r="D980" s="116"/>
      <c r="G980" s="107"/>
      <c r="H980" s="49"/>
      <c r="U980" s="49"/>
    </row>
    <row r="981">
      <c r="A981" s="48"/>
      <c r="B981" s="116"/>
      <c r="C981" s="116"/>
      <c r="D981" s="116"/>
      <c r="G981" s="107"/>
      <c r="H981" s="49"/>
      <c r="U981" s="49"/>
    </row>
    <row r="982">
      <c r="A982" s="48"/>
      <c r="B982" s="116"/>
      <c r="C982" s="116"/>
      <c r="D982" s="116"/>
      <c r="G982" s="107"/>
      <c r="H982" s="49"/>
      <c r="U982" s="49"/>
    </row>
    <row r="983">
      <c r="A983" s="48"/>
      <c r="B983" s="116"/>
      <c r="C983" s="116"/>
      <c r="D983" s="116"/>
      <c r="G983" s="107"/>
      <c r="H983" s="49"/>
      <c r="U983" s="49"/>
    </row>
    <row r="984">
      <c r="A984" s="48"/>
      <c r="B984" s="116"/>
      <c r="C984" s="116"/>
      <c r="D984" s="116"/>
      <c r="G984" s="107"/>
      <c r="H984" s="49"/>
      <c r="U984" s="49"/>
    </row>
    <row r="985">
      <c r="A985" s="48"/>
      <c r="B985" s="116"/>
      <c r="C985" s="116"/>
      <c r="D985" s="116"/>
      <c r="G985" s="107"/>
      <c r="H985" s="49"/>
      <c r="U985" s="49"/>
    </row>
    <row r="986">
      <c r="A986" s="48"/>
      <c r="B986" s="116"/>
      <c r="C986" s="116"/>
      <c r="D986" s="116"/>
      <c r="G986" s="107"/>
      <c r="H986" s="49"/>
      <c r="U986" s="49"/>
    </row>
    <row r="987">
      <c r="A987" s="48"/>
      <c r="B987" s="116"/>
      <c r="C987" s="116"/>
      <c r="D987" s="116"/>
      <c r="G987" s="107"/>
      <c r="H987" s="49"/>
      <c r="U987" s="49"/>
    </row>
    <row r="988">
      <c r="A988" s="48"/>
      <c r="B988" s="116"/>
      <c r="C988" s="116"/>
      <c r="D988" s="116"/>
      <c r="G988" s="107"/>
      <c r="H988" s="49"/>
      <c r="U988" s="49"/>
    </row>
    <row r="989">
      <c r="A989" s="48"/>
      <c r="B989" s="116"/>
      <c r="C989" s="116"/>
      <c r="D989" s="116"/>
      <c r="G989" s="107"/>
      <c r="H989" s="49"/>
      <c r="U989" s="49"/>
    </row>
    <row r="990">
      <c r="A990" s="48"/>
      <c r="B990" s="116"/>
      <c r="C990" s="116"/>
      <c r="D990" s="116"/>
      <c r="G990" s="107"/>
      <c r="H990" s="49"/>
      <c r="U990" s="49"/>
    </row>
    <row r="991">
      <c r="A991" s="48"/>
      <c r="B991" s="116"/>
      <c r="C991" s="116"/>
      <c r="D991" s="116"/>
      <c r="G991" s="107"/>
      <c r="H991" s="49"/>
      <c r="U991" s="49"/>
    </row>
    <row r="992">
      <c r="A992" s="48"/>
      <c r="B992" s="116"/>
      <c r="C992" s="116"/>
      <c r="D992" s="116"/>
      <c r="G992" s="107"/>
      <c r="H992" s="49"/>
      <c r="U992" s="49"/>
    </row>
    <row r="993">
      <c r="A993" s="48"/>
      <c r="B993" s="116"/>
      <c r="C993" s="116"/>
      <c r="D993" s="116"/>
      <c r="G993" s="107"/>
      <c r="H993" s="49"/>
      <c r="U993" s="49"/>
    </row>
    <row r="994">
      <c r="A994" s="48"/>
      <c r="B994" s="116"/>
      <c r="C994" s="116"/>
      <c r="D994" s="116"/>
      <c r="G994" s="107"/>
      <c r="H994" s="49"/>
      <c r="U994" s="49"/>
    </row>
    <row r="995">
      <c r="A995" s="48"/>
      <c r="B995" s="116"/>
      <c r="C995" s="116"/>
      <c r="D995" s="116"/>
      <c r="G995" s="107"/>
      <c r="H995" s="49"/>
      <c r="U995" s="49"/>
    </row>
    <row r="996">
      <c r="A996" s="48"/>
      <c r="B996" s="116"/>
      <c r="C996" s="116"/>
      <c r="D996" s="116"/>
      <c r="G996" s="107"/>
      <c r="H996" s="49"/>
      <c r="U996" s="49"/>
    </row>
    <row r="997">
      <c r="A997" s="48"/>
      <c r="B997" s="116"/>
      <c r="C997" s="116"/>
      <c r="D997" s="116"/>
      <c r="G997" s="107"/>
      <c r="H997" s="49"/>
      <c r="U997" s="49"/>
    </row>
    <row r="998">
      <c r="A998" s="48"/>
      <c r="B998" s="116"/>
      <c r="C998" s="116"/>
      <c r="D998" s="116"/>
      <c r="G998" s="107"/>
      <c r="H998" s="49"/>
      <c r="U998" s="49"/>
    </row>
    <row r="999">
      <c r="A999" s="48"/>
      <c r="B999" s="116"/>
      <c r="C999" s="116"/>
      <c r="D999" s="116"/>
      <c r="G999" s="107"/>
      <c r="H999" s="49"/>
      <c r="U999" s="49"/>
    </row>
    <row r="1000">
      <c r="A1000" s="48"/>
      <c r="B1000" s="116"/>
      <c r="C1000" s="116"/>
      <c r="D1000" s="116"/>
      <c r="G1000" s="107"/>
      <c r="H1000" s="49"/>
      <c r="U1000" s="49"/>
    </row>
    <row r="1001">
      <c r="A1001" s="48"/>
      <c r="B1001" s="116"/>
      <c r="C1001" s="116"/>
      <c r="D1001" s="116"/>
      <c r="G1001" s="107"/>
      <c r="H1001" s="49"/>
      <c r="U1001" s="49"/>
    </row>
    <row r="1002">
      <c r="A1002" s="48"/>
      <c r="B1002" s="116"/>
      <c r="C1002" s="116"/>
      <c r="D1002" s="116"/>
      <c r="G1002" s="107"/>
      <c r="H1002" s="49"/>
      <c r="U1002" s="49"/>
    </row>
    <row r="1003">
      <c r="A1003" s="48"/>
      <c r="B1003" s="116"/>
      <c r="C1003" s="116"/>
      <c r="D1003" s="116"/>
      <c r="G1003" s="107"/>
      <c r="H1003" s="49"/>
      <c r="U1003" s="49"/>
    </row>
    <row r="1004">
      <c r="A1004" s="48"/>
      <c r="B1004" s="116"/>
      <c r="C1004" s="116"/>
      <c r="D1004" s="116"/>
      <c r="G1004" s="107"/>
      <c r="H1004" s="49"/>
      <c r="U1004" s="49"/>
    </row>
  </sheetData>
  <dataValidations>
    <dataValidation type="list" allowBlank="1" sqref="B2:B123">
      <formula1>"買進,賣出,售出"</formula1>
    </dataValidation>
    <dataValidation type="custom" allowBlank="1" showDropDown="1" sqref="T2 M2:M5">
      <formula1>OR(NOT(ISERROR(DATEVALUE(M2))), AND(ISNUMBER(M2), LEFT(CELL("format", M2))="D"))</formula1>
    </dataValidation>
    <dataValidation type="custom" allowBlank="1" showDropDown="1" sqref="A2:A123">
      <formula1>OR(NOT(ISERROR(DATEVALUE(A2))), AND(ISNUMBER(A2), LEFT(CELL("format", A2))="D"))</formula1>
    </dataValidation>
    <dataValidation type="custom" allowBlank="1" showDropDown="1" sqref="G2:H123">
      <formula1>AND(ISNUMBER(G2),(NOT(OR(NOT(ISERROR(DATEVALUE(G2))), AND(ISNUMBER(G2), LEFT(CELL("format", G2))="D")))))</formula1>
    </dataValidation>
    <dataValidation type="list" allowBlank="1" sqref="C2:C123">
      <formula1>"富邦,firstrade"</formula1>
    </dataValidation>
    <dataValidation allowBlank="1" showDropDown="1" sqref="U2"/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3.75"/>
    <col customWidth="1" min="3" max="3" width="15.38"/>
    <col customWidth="1" min="13" max="13" width="15.38"/>
  </cols>
  <sheetData>
    <row r="1" ht="22.5" customHeight="1">
      <c r="A1" s="2" t="s">
        <v>86</v>
      </c>
      <c r="B1" s="1" t="s">
        <v>87</v>
      </c>
      <c r="C1" s="2" t="s">
        <v>5</v>
      </c>
      <c r="D1" s="2" t="s">
        <v>89</v>
      </c>
      <c r="E1" s="2" t="s">
        <v>90</v>
      </c>
      <c r="F1" s="2" t="s">
        <v>1</v>
      </c>
      <c r="G1" s="123" t="s">
        <v>101</v>
      </c>
      <c r="H1" s="5" t="s">
        <v>2</v>
      </c>
      <c r="L1" s="2" t="s">
        <v>86</v>
      </c>
      <c r="M1" s="2" t="s">
        <v>5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</row>
    <row r="2" ht="22.5" customHeight="1">
      <c r="A2" s="162">
        <v>45681.09818287037</v>
      </c>
      <c r="B2" s="163" t="s">
        <v>103</v>
      </c>
      <c r="C2" s="120" t="s">
        <v>82</v>
      </c>
      <c r="D2" s="17">
        <v>17.0</v>
      </c>
      <c r="E2" s="17">
        <v>116.59</v>
      </c>
      <c r="F2" s="11">
        <f t="shared" ref="F2:F28" si="1">D2*E2</f>
        <v>1982.03</v>
      </c>
      <c r="G2" s="22">
        <v>1.0</v>
      </c>
      <c r="H2" s="37"/>
      <c r="L2" s="128">
        <v>45734.0</v>
      </c>
      <c r="M2" s="120" t="s">
        <v>104</v>
      </c>
      <c r="N2" s="17">
        <v>1000.0</v>
      </c>
      <c r="O2" s="17">
        <v>0.5</v>
      </c>
      <c r="P2" s="11">
        <f>N2*O2</f>
        <v>500</v>
      </c>
      <c r="Q2" s="17">
        <v>10.0</v>
      </c>
      <c r="R2" s="11">
        <f>P2-Q2</f>
        <v>490</v>
      </c>
    </row>
    <row r="3" ht="22.5" customHeight="1">
      <c r="A3" s="162">
        <v>45681.099016203705</v>
      </c>
      <c r="B3" s="163" t="s">
        <v>103</v>
      </c>
      <c r="C3" s="17" t="s">
        <v>104</v>
      </c>
      <c r="D3" s="17">
        <v>500.0</v>
      </c>
      <c r="E3" s="17">
        <v>22.26</v>
      </c>
      <c r="F3" s="11">
        <f t="shared" si="1"/>
        <v>11130</v>
      </c>
      <c r="G3" s="22">
        <v>15.0</v>
      </c>
      <c r="H3" s="37"/>
    </row>
    <row r="4" ht="22.5" customHeight="1">
      <c r="A4" s="162">
        <v>45691.0</v>
      </c>
      <c r="B4" s="163" t="s">
        <v>103</v>
      </c>
      <c r="C4" s="17" t="s">
        <v>85</v>
      </c>
      <c r="D4" s="17">
        <f>40*4</f>
        <v>160</v>
      </c>
      <c r="E4" s="164">
        <v>48.2</v>
      </c>
      <c r="F4" s="11">
        <f t="shared" si="1"/>
        <v>7712</v>
      </c>
      <c r="G4" s="22">
        <v>10.0</v>
      </c>
      <c r="H4" s="37"/>
    </row>
    <row r="5" ht="22.5" customHeight="1">
      <c r="A5" s="162">
        <v>45691.0</v>
      </c>
      <c r="B5" s="163" t="s">
        <v>103</v>
      </c>
      <c r="C5" s="17" t="s">
        <v>104</v>
      </c>
      <c r="D5" s="17">
        <v>500.0</v>
      </c>
      <c r="E5" s="17">
        <v>22.0</v>
      </c>
      <c r="F5" s="11">
        <f t="shared" si="1"/>
        <v>11000</v>
      </c>
      <c r="G5" s="22">
        <v>15.0</v>
      </c>
      <c r="H5" s="37"/>
    </row>
    <row r="6" ht="22.5" customHeight="1">
      <c r="A6" s="162">
        <v>45694.0</v>
      </c>
      <c r="B6" s="163" t="s">
        <v>103</v>
      </c>
      <c r="C6" s="120" t="s">
        <v>82</v>
      </c>
      <c r="D6" s="17">
        <v>17.0</v>
      </c>
      <c r="E6" s="17">
        <v>116.18</v>
      </c>
      <c r="F6" s="11">
        <f t="shared" si="1"/>
        <v>1975.06</v>
      </c>
      <c r="G6" s="22">
        <v>1.0</v>
      </c>
      <c r="H6" s="37"/>
    </row>
    <row r="7" ht="22.5" customHeight="1">
      <c r="A7" s="162">
        <v>45698.0</v>
      </c>
      <c r="B7" s="163" t="s">
        <v>103</v>
      </c>
      <c r="C7" s="120" t="s">
        <v>85</v>
      </c>
      <c r="D7" s="17">
        <f>50*4</f>
        <v>200</v>
      </c>
      <c r="E7" s="164">
        <v>49.24</v>
      </c>
      <c r="F7" s="11">
        <f t="shared" si="1"/>
        <v>9848</v>
      </c>
      <c r="G7" s="22">
        <v>1.0</v>
      </c>
      <c r="H7" s="37"/>
    </row>
    <row r="8" ht="22.5" customHeight="1">
      <c r="A8" s="162">
        <v>45700.0</v>
      </c>
      <c r="B8" s="163" t="s">
        <v>103</v>
      </c>
      <c r="C8" s="120" t="s">
        <v>83</v>
      </c>
      <c r="D8" s="17">
        <v>1300.0</v>
      </c>
      <c r="E8" s="17">
        <v>9.99</v>
      </c>
      <c r="F8" s="11">
        <f t="shared" si="1"/>
        <v>12987</v>
      </c>
      <c r="G8" s="22">
        <v>24.0</v>
      </c>
      <c r="H8" s="37"/>
    </row>
    <row r="9" ht="22.5" customHeight="1">
      <c r="A9" s="162">
        <v>45701.0</v>
      </c>
      <c r="B9" s="163" t="s">
        <v>103</v>
      </c>
      <c r="C9" s="120" t="s">
        <v>85</v>
      </c>
      <c r="D9" s="164">
        <v>400.0</v>
      </c>
      <c r="E9" s="164">
        <v>49.125</v>
      </c>
      <c r="F9" s="11">
        <f t="shared" si="1"/>
        <v>19650</v>
      </c>
      <c r="G9" s="22">
        <v>28.0</v>
      </c>
      <c r="H9" s="37"/>
    </row>
    <row r="10" ht="22.5" customHeight="1">
      <c r="A10" s="162">
        <v>45702.0</v>
      </c>
      <c r="B10" s="163" t="s">
        <v>103</v>
      </c>
      <c r="C10" s="120" t="s">
        <v>85</v>
      </c>
      <c r="D10" s="164">
        <v>200.0</v>
      </c>
      <c r="E10" s="164">
        <v>48.6125</v>
      </c>
      <c r="F10" s="11">
        <f t="shared" si="1"/>
        <v>9722.5</v>
      </c>
      <c r="G10" s="22">
        <v>13.0</v>
      </c>
      <c r="H10" s="37"/>
    </row>
    <row r="11" ht="22.5" customHeight="1">
      <c r="A11" s="162">
        <v>45702.0</v>
      </c>
      <c r="B11" s="163" t="s">
        <v>103</v>
      </c>
      <c r="C11" s="120" t="s">
        <v>85</v>
      </c>
      <c r="D11" s="164">
        <v>200.0</v>
      </c>
      <c r="E11" s="164">
        <v>48.575</v>
      </c>
      <c r="F11" s="11">
        <f t="shared" si="1"/>
        <v>9715</v>
      </c>
      <c r="G11" s="22">
        <v>13.0</v>
      </c>
      <c r="H11" s="37"/>
    </row>
    <row r="12" ht="22.5" customHeight="1">
      <c r="A12" s="162">
        <v>45702.0</v>
      </c>
      <c r="B12" s="163" t="s">
        <v>103</v>
      </c>
      <c r="C12" s="120" t="s">
        <v>85</v>
      </c>
      <c r="D12" s="164">
        <v>100.0</v>
      </c>
      <c r="E12" s="164">
        <v>48.525</v>
      </c>
      <c r="F12" s="11">
        <f t="shared" si="1"/>
        <v>4852.5</v>
      </c>
      <c r="G12" s="22">
        <v>6.0</v>
      </c>
      <c r="H12" s="37"/>
    </row>
    <row r="13" ht="22.5" customHeight="1">
      <c r="A13" s="162">
        <v>45705.0</v>
      </c>
      <c r="B13" s="163" t="s">
        <v>103</v>
      </c>
      <c r="C13" s="120" t="s">
        <v>85</v>
      </c>
      <c r="D13" s="164">
        <v>200.0</v>
      </c>
      <c r="E13" s="164">
        <v>49.0825</v>
      </c>
      <c r="F13" s="11">
        <f t="shared" si="1"/>
        <v>9816.5</v>
      </c>
      <c r="G13" s="22">
        <v>1.0</v>
      </c>
      <c r="H13" s="37"/>
    </row>
    <row r="14" ht="22.5" customHeight="1">
      <c r="A14" s="162">
        <v>45712.0</v>
      </c>
      <c r="B14" s="163" t="s">
        <v>103</v>
      </c>
      <c r="C14" s="120" t="s">
        <v>85</v>
      </c>
      <c r="D14" s="164">
        <v>204.0</v>
      </c>
      <c r="E14" s="164">
        <v>48.995</v>
      </c>
      <c r="F14" s="11">
        <f t="shared" si="1"/>
        <v>9994.98</v>
      </c>
      <c r="G14" s="22">
        <v>1.0</v>
      </c>
      <c r="H14" s="37"/>
    </row>
    <row r="15" ht="22.5" customHeight="1">
      <c r="A15" s="165">
        <v>45712.0</v>
      </c>
      <c r="B15" s="166" t="s">
        <v>103</v>
      </c>
      <c r="C15" s="167" t="s">
        <v>85</v>
      </c>
      <c r="D15" s="168">
        <v>100.0</v>
      </c>
      <c r="E15" s="168">
        <v>49.05</v>
      </c>
      <c r="F15" s="11">
        <f t="shared" si="1"/>
        <v>4905</v>
      </c>
      <c r="G15" s="22">
        <v>6.0</v>
      </c>
      <c r="H15" s="37"/>
    </row>
    <row r="16" ht="22.5" customHeight="1">
      <c r="A16" s="165">
        <v>45712.0</v>
      </c>
      <c r="B16" s="166" t="s">
        <v>103</v>
      </c>
      <c r="C16" s="167" t="s">
        <v>85</v>
      </c>
      <c r="D16" s="168">
        <v>200.0</v>
      </c>
      <c r="E16" s="168">
        <v>49.025</v>
      </c>
      <c r="F16" s="11">
        <f t="shared" si="1"/>
        <v>9805</v>
      </c>
      <c r="G16" s="22">
        <v>13.0</v>
      </c>
      <c r="H16" s="37"/>
    </row>
    <row r="17" ht="22.5" customHeight="1">
      <c r="A17" s="165">
        <v>45713.0</v>
      </c>
      <c r="B17" s="166" t="s">
        <v>103</v>
      </c>
      <c r="C17" s="167" t="s">
        <v>85</v>
      </c>
      <c r="D17" s="168">
        <v>200.0</v>
      </c>
      <c r="E17" s="168">
        <v>48.4625</v>
      </c>
      <c r="F17" s="20">
        <f t="shared" si="1"/>
        <v>9692.5</v>
      </c>
      <c r="G17" s="22">
        <v>13.0</v>
      </c>
      <c r="H17" s="37"/>
    </row>
    <row r="18" ht="22.5" customHeight="1">
      <c r="A18" s="165">
        <v>45719.0</v>
      </c>
      <c r="B18" s="166" t="s">
        <v>103</v>
      </c>
      <c r="C18" s="167" t="s">
        <v>85</v>
      </c>
      <c r="D18" s="168">
        <v>300.0</v>
      </c>
      <c r="E18" s="168">
        <v>47.0625</v>
      </c>
      <c r="F18" s="20">
        <f t="shared" si="1"/>
        <v>14118.75</v>
      </c>
      <c r="G18" s="22">
        <v>20.0</v>
      </c>
      <c r="H18" s="37"/>
    </row>
    <row r="19" ht="22.5" customHeight="1">
      <c r="A19" s="165">
        <v>45719.0</v>
      </c>
      <c r="B19" s="166" t="s">
        <v>103</v>
      </c>
      <c r="C19" s="167" t="s">
        <v>85</v>
      </c>
      <c r="D19" s="168">
        <v>400.0</v>
      </c>
      <c r="E19" s="168">
        <v>47.0125</v>
      </c>
      <c r="F19" s="20">
        <f t="shared" si="1"/>
        <v>18805</v>
      </c>
      <c r="G19" s="22">
        <v>26.0</v>
      </c>
      <c r="H19" s="37"/>
    </row>
    <row r="20" ht="22.5" customHeight="1">
      <c r="A20" s="165">
        <v>45727.427083333336</v>
      </c>
      <c r="B20" s="166" t="s">
        <v>103</v>
      </c>
      <c r="C20" s="167" t="s">
        <v>85</v>
      </c>
      <c r="D20" s="168">
        <v>400.0</v>
      </c>
      <c r="E20" s="168">
        <v>45.325</v>
      </c>
      <c r="F20" s="20">
        <f t="shared" si="1"/>
        <v>18130</v>
      </c>
      <c r="G20" s="22">
        <v>25.0</v>
      </c>
      <c r="H20" s="37"/>
    </row>
    <row r="21" ht="22.5" customHeight="1">
      <c r="A21" s="165">
        <v>45727.0</v>
      </c>
      <c r="B21" s="166" t="s">
        <v>103</v>
      </c>
      <c r="C21" s="167" t="s">
        <v>104</v>
      </c>
      <c r="D21" s="22">
        <v>23.0</v>
      </c>
      <c r="E21" s="22">
        <v>21.94</v>
      </c>
      <c r="F21" s="20">
        <f t="shared" si="1"/>
        <v>504.62</v>
      </c>
      <c r="G21" s="22">
        <v>1.0</v>
      </c>
      <c r="H21" s="37"/>
    </row>
    <row r="22" ht="22.5" customHeight="1">
      <c r="A22" s="165">
        <v>45740.0</v>
      </c>
      <c r="B22" s="166" t="s">
        <v>103</v>
      </c>
      <c r="C22" s="167" t="s">
        <v>81</v>
      </c>
      <c r="D22" s="22">
        <v>1.0</v>
      </c>
      <c r="E22" s="22">
        <v>19.0</v>
      </c>
      <c r="F22" s="20">
        <f t="shared" si="1"/>
        <v>19</v>
      </c>
      <c r="G22" s="22">
        <v>1.0</v>
      </c>
      <c r="H22" s="37"/>
    </row>
    <row r="23" ht="22.5" customHeight="1">
      <c r="A23" s="165" t="s">
        <v>119</v>
      </c>
      <c r="B23" s="166" t="s">
        <v>103</v>
      </c>
      <c r="C23" s="167" t="s">
        <v>85</v>
      </c>
      <c r="D23" s="168">
        <v>280.0</v>
      </c>
      <c r="E23" s="168">
        <v>43.4875</v>
      </c>
      <c r="F23" s="20">
        <f t="shared" si="1"/>
        <v>12176.5</v>
      </c>
      <c r="G23" s="22">
        <v>17.0</v>
      </c>
      <c r="H23" s="37"/>
    </row>
    <row r="24" ht="22.5" customHeight="1">
      <c r="A24" s="165">
        <v>45757.0</v>
      </c>
      <c r="B24" s="166" t="s">
        <v>103</v>
      </c>
      <c r="C24" s="167" t="s">
        <v>85</v>
      </c>
      <c r="D24" s="168">
        <v>1000.0</v>
      </c>
      <c r="E24" s="168">
        <v>38.1875</v>
      </c>
      <c r="F24" s="20">
        <f t="shared" si="1"/>
        <v>38187.5</v>
      </c>
      <c r="G24" s="22">
        <v>14.0</v>
      </c>
      <c r="H24" s="37"/>
    </row>
    <row r="25" ht="22.5" customHeight="1">
      <c r="A25" s="165">
        <v>45894.0</v>
      </c>
      <c r="B25" s="166" t="s">
        <v>107</v>
      </c>
      <c r="C25" s="167" t="s">
        <v>104</v>
      </c>
      <c r="D25" s="22">
        <v>1000.0</v>
      </c>
      <c r="E25" s="22">
        <v>20.54</v>
      </c>
      <c r="F25" s="20">
        <f t="shared" si="1"/>
        <v>20540</v>
      </c>
      <c r="G25" s="22">
        <v>49.0</v>
      </c>
      <c r="H25" s="37"/>
    </row>
    <row r="26" ht="22.5" customHeight="1">
      <c r="A26" s="165">
        <v>45894.0</v>
      </c>
      <c r="B26" s="166" t="s">
        <v>107</v>
      </c>
      <c r="C26" s="167" t="s">
        <v>104</v>
      </c>
      <c r="D26" s="22">
        <v>23.0</v>
      </c>
      <c r="E26" s="22">
        <v>20.49</v>
      </c>
      <c r="F26" s="20">
        <f t="shared" si="1"/>
        <v>471.27</v>
      </c>
      <c r="G26" s="22">
        <v>1.0</v>
      </c>
      <c r="H26" s="37"/>
    </row>
    <row r="27" ht="22.5" customHeight="1">
      <c r="A27" s="165">
        <v>45947.0</v>
      </c>
      <c r="B27" s="166" t="s">
        <v>107</v>
      </c>
      <c r="C27" s="167" t="s">
        <v>85</v>
      </c>
      <c r="D27" s="22">
        <v>1000.0</v>
      </c>
      <c r="E27" s="22">
        <v>62.05</v>
      </c>
      <c r="F27" s="20">
        <f t="shared" si="1"/>
        <v>62050</v>
      </c>
      <c r="G27" s="22">
        <f>88+62</f>
        <v>150</v>
      </c>
      <c r="H27" s="22">
        <v>45320.0</v>
      </c>
    </row>
    <row r="28" ht="22.5" customHeight="1">
      <c r="A28" s="165">
        <v>45947.0</v>
      </c>
      <c r="B28" s="166" t="s">
        <v>103</v>
      </c>
      <c r="C28" s="167" t="s">
        <v>84</v>
      </c>
      <c r="D28" s="22">
        <v>42.0</v>
      </c>
      <c r="E28" s="22">
        <v>1460.0</v>
      </c>
      <c r="F28" s="20">
        <f t="shared" si="1"/>
        <v>61320</v>
      </c>
      <c r="G28" s="22">
        <v>87.0</v>
      </c>
      <c r="H28" s="37"/>
    </row>
    <row r="29">
      <c r="B29" s="116"/>
    </row>
    <row r="30">
      <c r="B30" s="116"/>
    </row>
    <row r="31">
      <c r="B31" s="116"/>
    </row>
    <row r="32">
      <c r="B32" s="116"/>
    </row>
    <row r="33">
      <c r="B33" s="116"/>
    </row>
    <row r="34">
      <c r="B34" s="116"/>
    </row>
    <row r="35">
      <c r="B35" s="116"/>
    </row>
    <row r="36">
      <c r="B36" s="116"/>
    </row>
    <row r="37">
      <c r="B37" s="116"/>
    </row>
    <row r="38">
      <c r="B38" s="116"/>
    </row>
    <row r="39">
      <c r="B39" s="116"/>
    </row>
    <row r="40">
      <c r="B40" s="116"/>
    </row>
    <row r="41">
      <c r="B41" s="116"/>
    </row>
    <row r="42">
      <c r="B42" s="116"/>
    </row>
    <row r="43">
      <c r="B43" s="116"/>
    </row>
    <row r="44">
      <c r="B44" s="116"/>
    </row>
    <row r="45">
      <c r="B45" s="116"/>
    </row>
    <row r="46">
      <c r="B46" s="116"/>
    </row>
    <row r="47">
      <c r="B47" s="116"/>
    </row>
    <row r="48">
      <c r="B48" s="116"/>
    </row>
    <row r="49">
      <c r="B49" s="116"/>
    </row>
    <row r="50">
      <c r="B50" s="116"/>
    </row>
    <row r="51">
      <c r="B51" s="116"/>
    </row>
    <row r="52">
      <c r="B52" s="116"/>
    </row>
    <row r="53">
      <c r="B53" s="116"/>
    </row>
    <row r="54">
      <c r="B54" s="116"/>
    </row>
    <row r="55">
      <c r="B55" s="116"/>
    </row>
    <row r="56">
      <c r="B56" s="116"/>
    </row>
    <row r="57">
      <c r="B57" s="116"/>
    </row>
    <row r="58">
      <c r="B58" s="116"/>
    </row>
    <row r="59">
      <c r="B59" s="116"/>
    </row>
    <row r="60">
      <c r="B60" s="116"/>
    </row>
    <row r="61">
      <c r="B61" s="116"/>
    </row>
    <row r="62">
      <c r="B62" s="116"/>
    </row>
    <row r="63">
      <c r="B63" s="116"/>
    </row>
    <row r="64">
      <c r="B64" s="116"/>
    </row>
    <row r="65">
      <c r="B65" s="116"/>
    </row>
    <row r="66">
      <c r="B66" s="116"/>
    </row>
    <row r="67">
      <c r="B67" s="116"/>
    </row>
    <row r="68">
      <c r="B68" s="116"/>
    </row>
    <row r="69">
      <c r="B69" s="116"/>
    </row>
    <row r="70">
      <c r="B70" s="116"/>
    </row>
    <row r="71">
      <c r="B71" s="116"/>
    </row>
    <row r="72">
      <c r="B72" s="116"/>
    </row>
    <row r="73">
      <c r="B73" s="116"/>
    </row>
    <row r="74">
      <c r="B74" s="116"/>
    </row>
    <row r="75">
      <c r="B75" s="116"/>
    </row>
    <row r="76">
      <c r="B76" s="116"/>
    </row>
    <row r="77">
      <c r="B77" s="116"/>
    </row>
    <row r="78">
      <c r="B78" s="116"/>
    </row>
    <row r="79">
      <c r="B79" s="116"/>
    </row>
    <row r="80">
      <c r="B80" s="116"/>
    </row>
    <row r="81">
      <c r="B81" s="116"/>
    </row>
    <row r="82">
      <c r="B82" s="116"/>
    </row>
    <row r="83">
      <c r="B83" s="116"/>
    </row>
    <row r="84">
      <c r="B84" s="116"/>
    </row>
    <row r="85">
      <c r="B85" s="116"/>
    </row>
    <row r="86">
      <c r="B86" s="116"/>
    </row>
    <row r="87">
      <c r="B87" s="116"/>
    </row>
    <row r="88">
      <c r="B88" s="116"/>
    </row>
    <row r="89">
      <c r="B89" s="116"/>
    </row>
    <row r="90">
      <c r="B90" s="116"/>
    </row>
    <row r="91">
      <c r="B91" s="116"/>
    </row>
    <row r="92">
      <c r="B92" s="116"/>
    </row>
    <row r="93">
      <c r="B93" s="116"/>
    </row>
    <row r="94">
      <c r="B94" s="116"/>
    </row>
    <row r="95">
      <c r="B95" s="116"/>
    </row>
    <row r="96">
      <c r="B96" s="116"/>
    </row>
    <row r="97">
      <c r="B97" s="116"/>
    </row>
    <row r="98">
      <c r="B98" s="116"/>
    </row>
    <row r="99">
      <c r="B99" s="116"/>
    </row>
    <row r="100">
      <c r="B100" s="116"/>
    </row>
    <row r="101">
      <c r="B101" s="116"/>
    </row>
    <row r="102">
      <c r="B102" s="116"/>
    </row>
    <row r="103">
      <c r="B103" s="116"/>
    </row>
    <row r="104">
      <c r="B104" s="116"/>
    </row>
    <row r="105">
      <c r="B105" s="116"/>
    </row>
    <row r="106">
      <c r="B106" s="116"/>
    </row>
    <row r="107">
      <c r="B107" s="116"/>
    </row>
    <row r="108">
      <c r="B108" s="116"/>
    </row>
    <row r="109">
      <c r="B109" s="116"/>
    </row>
    <row r="110">
      <c r="B110" s="116"/>
    </row>
    <row r="111">
      <c r="B111" s="116"/>
    </row>
    <row r="112">
      <c r="B112" s="116"/>
    </row>
    <row r="113">
      <c r="B113" s="116"/>
    </row>
    <row r="114">
      <c r="B114" s="116"/>
    </row>
    <row r="115">
      <c r="B115" s="116"/>
    </row>
    <row r="116">
      <c r="B116" s="116"/>
    </row>
    <row r="117">
      <c r="B117" s="116"/>
    </row>
    <row r="118">
      <c r="B118" s="116"/>
    </row>
    <row r="119">
      <c r="B119" s="116"/>
    </row>
    <row r="120">
      <c r="B120" s="116"/>
    </row>
    <row r="121">
      <c r="B121" s="116"/>
    </row>
    <row r="122">
      <c r="B122" s="116"/>
    </row>
    <row r="123">
      <c r="B123" s="116"/>
    </row>
    <row r="124">
      <c r="B124" s="116"/>
    </row>
    <row r="125">
      <c r="B125" s="116"/>
    </row>
    <row r="126">
      <c r="B126" s="116"/>
    </row>
    <row r="127">
      <c r="B127" s="116"/>
    </row>
    <row r="128">
      <c r="B128" s="116"/>
    </row>
    <row r="129">
      <c r="B129" s="116"/>
    </row>
    <row r="130">
      <c r="B130" s="116"/>
    </row>
    <row r="131">
      <c r="B131" s="116"/>
    </row>
    <row r="132">
      <c r="B132" s="116"/>
    </row>
    <row r="133">
      <c r="B133" s="116"/>
    </row>
    <row r="134">
      <c r="B134" s="116"/>
    </row>
    <row r="135">
      <c r="B135" s="116"/>
    </row>
    <row r="136">
      <c r="B136" s="116"/>
    </row>
    <row r="137">
      <c r="B137" s="116"/>
    </row>
    <row r="138">
      <c r="B138" s="116"/>
    </row>
    <row r="139">
      <c r="B139" s="116"/>
    </row>
    <row r="140">
      <c r="B140" s="116"/>
    </row>
    <row r="141">
      <c r="B141" s="116"/>
    </row>
    <row r="142">
      <c r="B142" s="116"/>
    </row>
    <row r="143">
      <c r="B143" s="116"/>
    </row>
    <row r="144">
      <c r="B144" s="116"/>
    </row>
    <row r="145">
      <c r="B145" s="116"/>
    </row>
    <row r="146">
      <c r="B146" s="116"/>
    </row>
    <row r="147">
      <c r="B147" s="116"/>
    </row>
    <row r="148">
      <c r="B148" s="116"/>
    </row>
    <row r="149">
      <c r="B149" s="116"/>
    </row>
    <row r="150">
      <c r="B150" s="116"/>
    </row>
    <row r="151">
      <c r="B151" s="116"/>
    </row>
    <row r="152">
      <c r="B152" s="116"/>
    </row>
    <row r="153">
      <c r="B153" s="116"/>
    </row>
    <row r="154">
      <c r="B154" s="116"/>
    </row>
    <row r="155">
      <c r="B155" s="116"/>
    </row>
    <row r="156">
      <c r="B156" s="116"/>
    </row>
    <row r="157">
      <c r="B157" s="116"/>
    </row>
    <row r="158">
      <c r="B158" s="116"/>
    </row>
    <row r="159">
      <c r="B159" s="116"/>
    </row>
    <row r="160">
      <c r="B160" s="116"/>
    </row>
    <row r="161">
      <c r="B161" s="116"/>
    </row>
    <row r="162">
      <c r="B162" s="116"/>
    </row>
    <row r="163">
      <c r="B163" s="116"/>
    </row>
    <row r="164">
      <c r="B164" s="116"/>
    </row>
    <row r="165">
      <c r="B165" s="116"/>
    </row>
    <row r="166">
      <c r="B166" s="116"/>
    </row>
    <row r="167">
      <c r="B167" s="116"/>
    </row>
    <row r="168">
      <c r="B168" s="116"/>
    </row>
    <row r="169">
      <c r="B169" s="116"/>
    </row>
    <row r="170">
      <c r="B170" s="116"/>
    </row>
    <row r="171">
      <c r="B171" s="116"/>
    </row>
    <row r="172">
      <c r="B172" s="116"/>
    </row>
    <row r="173">
      <c r="B173" s="116"/>
    </row>
    <row r="174">
      <c r="B174" s="116"/>
    </row>
    <row r="175">
      <c r="B175" s="116"/>
    </row>
    <row r="176">
      <c r="B176" s="116"/>
    </row>
    <row r="177">
      <c r="B177" s="116"/>
    </row>
    <row r="178">
      <c r="B178" s="116"/>
    </row>
    <row r="179">
      <c r="B179" s="116"/>
    </row>
    <row r="180">
      <c r="B180" s="116"/>
    </row>
    <row r="181">
      <c r="B181" s="116"/>
    </row>
    <row r="182">
      <c r="B182" s="116"/>
    </row>
    <row r="183">
      <c r="B183" s="116"/>
    </row>
    <row r="184">
      <c r="B184" s="116"/>
    </row>
    <row r="185">
      <c r="B185" s="116"/>
    </row>
    <row r="186">
      <c r="B186" s="116"/>
    </row>
    <row r="187">
      <c r="B187" s="116"/>
    </row>
    <row r="188">
      <c r="B188" s="116"/>
    </row>
    <row r="189">
      <c r="B189" s="116"/>
    </row>
    <row r="190">
      <c r="B190" s="116"/>
    </row>
    <row r="191">
      <c r="B191" s="116"/>
    </row>
    <row r="192">
      <c r="B192" s="116"/>
    </row>
    <row r="193">
      <c r="B193" s="116"/>
    </row>
    <row r="194">
      <c r="B194" s="116"/>
    </row>
    <row r="195">
      <c r="B195" s="116"/>
    </row>
    <row r="196">
      <c r="B196" s="116"/>
    </row>
    <row r="197">
      <c r="B197" s="116"/>
    </row>
    <row r="198">
      <c r="B198" s="116"/>
    </row>
    <row r="199">
      <c r="B199" s="116"/>
    </row>
    <row r="200">
      <c r="B200" s="116"/>
    </row>
    <row r="201">
      <c r="B201" s="116"/>
    </row>
    <row r="202">
      <c r="B202" s="116"/>
    </row>
    <row r="203">
      <c r="B203" s="116"/>
    </row>
    <row r="204">
      <c r="B204" s="116"/>
    </row>
    <row r="205">
      <c r="B205" s="116"/>
    </row>
    <row r="206">
      <c r="B206" s="116"/>
    </row>
    <row r="207">
      <c r="B207" s="116"/>
    </row>
    <row r="208">
      <c r="B208" s="116"/>
    </row>
    <row r="209">
      <c r="B209" s="116"/>
    </row>
    <row r="210">
      <c r="B210" s="116"/>
    </row>
    <row r="211">
      <c r="B211" s="116"/>
    </row>
    <row r="212">
      <c r="B212" s="116"/>
    </row>
    <row r="213">
      <c r="B213" s="116"/>
    </row>
    <row r="214">
      <c r="B214" s="116"/>
    </row>
    <row r="215">
      <c r="B215" s="116"/>
    </row>
    <row r="216">
      <c r="B216" s="116"/>
    </row>
    <row r="217">
      <c r="B217" s="116"/>
    </row>
    <row r="218">
      <c r="B218" s="116"/>
    </row>
    <row r="219">
      <c r="B219" s="116"/>
    </row>
    <row r="220">
      <c r="B220" s="116"/>
    </row>
    <row r="221">
      <c r="B221" s="116"/>
    </row>
    <row r="222">
      <c r="B222" s="116"/>
    </row>
    <row r="223">
      <c r="B223" s="116"/>
    </row>
    <row r="224">
      <c r="B224" s="116"/>
    </row>
    <row r="225">
      <c r="B225" s="116"/>
    </row>
    <row r="226">
      <c r="B226" s="116"/>
    </row>
    <row r="227">
      <c r="B227" s="116"/>
    </row>
    <row r="228">
      <c r="B228" s="116"/>
    </row>
    <row r="229">
      <c r="B229" s="116"/>
    </row>
    <row r="230">
      <c r="B230" s="116"/>
    </row>
    <row r="231">
      <c r="B231" s="116"/>
    </row>
    <row r="232">
      <c r="B232" s="116"/>
    </row>
    <row r="233">
      <c r="B233" s="116"/>
    </row>
    <row r="234">
      <c r="B234" s="116"/>
    </row>
    <row r="235">
      <c r="B235" s="116"/>
    </row>
    <row r="236">
      <c r="B236" s="116"/>
    </row>
    <row r="237">
      <c r="B237" s="116"/>
    </row>
    <row r="238">
      <c r="B238" s="116"/>
    </row>
    <row r="239">
      <c r="B239" s="116"/>
    </row>
    <row r="240">
      <c r="B240" s="116"/>
    </row>
    <row r="241">
      <c r="B241" s="116"/>
    </row>
    <row r="242">
      <c r="B242" s="116"/>
    </row>
    <row r="243">
      <c r="B243" s="116"/>
    </row>
    <row r="244">
      <c r="B244" s="116"/>
    </row>
    <row r="245">
      <c r="B245" s="116"/>
    </row>
    <row r="246">
      <c r="B246" s="116"/>
    </row>
    <row r="247">
      <c r="B247" s="116"/>
    </row>
    <row r="248">
      <c r="B248" s="116"/>
    </row>
    <row r="249">
      <c r="B249" s="116"/>
    </row>
    <row r="250">
      <c r="B250" s="116"/>
    </row>
    <row r="251">
      <c r="B251" s="116"/>
    </row>
    <row r="252">
      <c r="B252" s="116"/>
    </row>
    <row r="253">
      <c r="B253" s="116"/>
    </row>
    <row r="254">
      <c r="B254" s="116"/>
    </row>
    <row r="255">
      <c r="B255" s="116"/>
    </row>
    <row r="256">
      <c r="B256" s="116"/>
    </row>
    <row r="257">
      <c r="B257" s="116"/>
    </row>
    <row r="258">
      <c r="B258" s="116"/>
    </row>
    <row r="259">
      <c r="B259" s="116"/>
    </row>
    <row r="260">
      <c r="B260" s="116"/>
    </row>
    <row r="261">
      <c r="B261" s="116"/>
    </row>
    <row r="262">
      <c r="B262" s="116"/>
    </row>
    <row r="263">
      <c r="B263" s="116"/>
    </row>
    <row r="264">
      <c r="B264" s="116"/>
    </row>
    <row r="265">
      <c r="B265" s="116"/>
    </row>
    <row r="266">
      <c r="B266" s="116"/>
    </row>
    <row r="267">
      <c r="B267" s="116"/>
    </row>
    <row r="268">
      <c r="B268" s="116"/>
    </row>
    <row r="269">
      <c r="B269" s="116"/>
    </row>
    <row r="270">
      <c r="B270" s="116"/>
    </row>
    <row r="271">
      <c r="B271" s="116"/>
    </row>
    <row r="272">
      <c r="B272" s="116"/>
    </row>
    <row r="273">
      <c r="B273" s="116"/>
    </row>
    <row r="274">
      <c r="B274" s="116"/>
    </row>
    <row r="275">
      <c r="B275" s="116"/>
    </row>
    <row r="276">
      <c r="B276" s="116"/>
    </row>
    <row r="277">
      <c r="B277" s="116"/>
    </row>
    <row r="278">
      <c r="B278" s="116"/>
    </row>
    <row r="279">
      <c r="B279" s="116"/>
    </row>
    <row r="280">
      <c r="B280" s="116"/>
    </row>
    <row r="281">
      <c r="B281" s="116"/>
    </row>
    <row r="282">
      <c r="B282" s="116"/>
    </row>
    <row r="283">
      <c r="B283" s="116"/>
    </row>
    <row r="284">
      <c r="B284" s="116"/>
    </row>
    <row r="285">
      <c r="B285" s="116"/>
    </row>
    <row r="286">
      <c r="B286" s="116"/>
    </row>
    <row r="287">
      <c r="B287" s="116"/>
    </row>
    <row r="288">
      <c r="B288" s="116"/>
    </row>
    <row r="289">
      <c r="B289" s="116"/>
    </row>
    <row r="290">
      <c r="B290" s="116"/>
    </row>
    <row r="291">
      <c r="B291" s="116"/>
    </row>
    <row r="292">
      <c r="B292" s="116"/>
    </row>
    <row r="293">
      <c r="B293" s="116"/>
    </row>
    <row r="294">
      <c r="B294" s="116"/>
    </row>
    <row r="295">
      <c r="B295" s="116"/>
    </row>
    <row r="296">
      <c r="B296" s="116"/>
    </row>
    <row r="297">
      <c r="B297" s="116"/>
    </row>
    <row r="298">
      <c r="B298" s="116"/>
    </row>
    <row r="299">
      <c r="B299" s="116"/>
    </row>
    <row r="300">
      <c r="B300" s="116"/>
    </row>
    <row r="301">
      <c r="B301" s="116"/>
    </row>
    <row r="302">
      <c r="B302" s="116"/>
    </row>
    <row r="303">
      <c r="B303" s="116"/>
    </row>
    <row r="304">
      <c r="B304" s="116"/>
    </row>
    <row r="305">
      <c r="B305" s="116"/>
    </row>
    <row r="306">
      <c r="B306" s="116"/>
    </row>
    <row r="307">
      <c r="B307" s="116"/>
    </row>
    <row r="308">
      <c r="B308" s="116"/>
    </row>
    <row r="309">
      <c r="B309" s="116"/>
    </row>
    <row r="310">
      <c r="B310" s="116"/>
    </row>
    <row r="311">
      <c r="B311" s="116"/>
    </row>
    <row r="312">
      <c r="B312" s="116"/>
    </row>
    <row r="313">
      <c r="B313" s="116"/>
    </row>
    <row r="314">
      <c r="B314" s="116"/>
    </row>
    <row r="315">
      <c r="B315" s="116"/>
    </row>
    <row r="316">
      <c r="B316" s="116"/>
    </row>
    <row r="317">
      <c r="B317" s="116"/>
    </row>
    <row r="318">
      <c r="B318" s="116"/>
    </row>
    <row r="319">
      <c r="B319" s="116"/>
    </row>
    <row r="320">
      <c r="B320" s="116"/>
    </row>
    <row r="321">
      <c r="B321" s="116"/>
    </row>
    <row r="322">
      <c r="B322" s="116"/>
    </row>
    <row r="323">
      <c r="B323" s="116"/>
    </row>
    <row r="324">
      <c r="B324" s="116"/>
    </row>
    <row r="325">
      <c r="B325" s="116"/>
    </row>
    <row r="326">
      <c r="B326" s="116"/>
    </row>
    <row r="327">
      <c r="B327" s="116"/>
    </row>
    <row r="328">
      <c r="B328" s="116"/>
    </row>
    <row r="329">
      <c r="B329" s="116"/>
    </row>
    <row r="330">
      <c r="B330" s="116"/>
    </row>
    <row r="331">
      <c r="B331" s="116"/>
    </row>
    <row r="332">
      <c r="B332" s="116"/>
    </row>
    <row r="333">
      <c r="B333" s="116"/>
    </row>
    <row r="334">
      <c r="B334" s="116"/>
    </row>
    <row r="335">
      <c r="B335" s="116"/>
    </row>
    <row r="336">
      <c r="B336" s="116"/>
    </row>
    <row r="337">
      <c r="B337" s="116"/>
    </row>
    <row r="338">
      <c r="B338" s="116"/>
    </row>
    <row r="339">
      <c r="B339" s="116"/>
    </row>
    <row r="340">
      <c r="B340" s="116"/>
    </row>
    <row r="341">
      <c r="B341" s="116"/>
    </row>
    <row r="342">
      <c r="B342" s="116"/>
    </row>
    <row r="343">
      <c r="B343" s="116"/>
    </row>
    <row r="344">
      <c r="B344" s="116"/>
    </row>
    <row r="345">
      <c r="B345" s="116"/>
    </row>
    <row r="346">
      <c r="B346" s="116"/>
    </row>
    <row r="347">
      <c r="B347" s="116"/>
    </row>
    <row r="348">
      <c r="B348" s="116"/>
    </row>
    <row r="349">
      <c r="B349" s="116"/>
    </row>
    <row r="350">
      <c r="B350" s="116"/>
    </row>
    <row r="351">
      <c r="B351" s="116"/>
    </row>
    <row r="352">
      <c r="B352" s="116"/>
    </row>
    <row r="353">
      <c r="B353" s="116"/>
    </row>
    <row r="354">
      <c r="B354" s="116"/>
    </row>
    <row r="355">
      <c r="B355" s="116"/>
    </row>
    <row r="356">
      <c r="B356" s="116"/>
    </row>
    <row r="357">
      <c r="B357" s="116"/>
    </row>
    <row r="358">
      <c r="B358" s="116"/>
    </row>
    <row r="359">
      <c r="B359" s="116"/>
    </row>
    <row r="360">
      <c r="B360" s="116"/>
    </row>
    <row r="361">
      <c r="B361" s="116"/>
    </row>
    <row r="362">
      <c r="B362" s="116"/>
    </row>
    <row r="363">
      <c r="B363" s="116"/>
    </row>
    <row r="364">
      <c r="B364" s="116"/>
    </row>
    <row r="365">
      <c r="B365" s="116"/>
    </row>
    <row r="366">
      <c r="B366" s="116"/>
    </row>
    <row r="367">
      <c r="B367" s="116"/>
    </row>
    <row r="368">
      <c r="B368" s="116"/>
    </row>
    <row r="369">
      <c r="B369" s="116"/>
    </row>
    <row r="370">
      <c r="B370" s="116"/>
    </row>
    <row r="371">
      <c r="B371" s="116"/>
    </row>
    <row r="372">
      <c r="B372" s="116"/>
    </row>
    <row r="373">
      <c r="B373" s="116"/>
    </row>
    <row r="374">
      <c r="B374" s="116"/>
    </row>
    <row r="375">
      <c r="B375" s="116"/>
    </row>
    <row r="376">
      <c r="B376" s="116"/>
    </row>
    <row r="377">
      <c r="B377" s="116"/>
    </row>
    <row r="378">
      <c r="B378" s="116"/>
    </row>
    <row r="379">
      <c r="B379" s="116"/>
    </row>
    <row r="380">
      <c r="B380" s="116"/>
    </row>
    <row r="381">
      <c r="B381" s="116"/>
    </row>
    <row r="382">
      <c r="B382" s="116"/>
    </row>
    <row r="383">
      <c r="B383" s="116"/>
    </row>
    <row r="384">
      <c r="B384" s="116"/>
    </row>
    <row r="385">
      <c r="B385" s="116"/>
    </row>
    <row r="386">
      <c r="B386" s="116"/>
    </row>
    <row r="387">
      <c r="B387" s="116"/>
    </row>
    <row r="388">
      <c r="B388" s="116"/>
    </row>
    <row r="389">
      <c r="B389" s="116"/>
    </row>
    <row r="390">
      <c r="B390" s="116"/>
    </row>
    <row r="391">
      <c r="B391" s="116"/>
    </row>
    <row r="392">
      <c r="B392" s="116"/>
    </row>
    <row r="393">
      <c r="B393" s="116"/>
    </row>
    <row r="394">
      <c r="B394" s="116"/>
    </row>
    <row r="395">
      <c r="B395" s="116"/>
    </row>
    <row r="396">
      <c r="B396" s="116"/>
    </row>
    <row r="397">
      <c r="B397" s="116"/>
    </row>
    <row r="398">
      <c r="B398" s="116"/>
    </row>
    <row r="399">
      <c r="B399" s="116"/>
    </row>
    <row r="400">
      <c r="B400" s="116"/>
    </row>
    <row r="401">
      <c r="B401" s="116"/>
    </row>
    <row r="402">
      <c r="B402" s="116"/>
    </row>
    <row r="403">
      <c r="B403" s="116"/>
    </row>
    <row r="404">
      <c r="B404" s="116"/>
    </row>
    <row r="405">
      <c r="B405" s="116"/>
    </row>
    <row r="406">
      <c r="B406" s="116"/>
    </row>
    <row r="407">
      <c r="B407" s="116"/>
    </row>
    <row r="408">
      <c r="B408" s="116"/>
    </row>
    <row r="409">
      <c r="B409" s="116"/>
    </row>
    <row r="410">
      <c r="B410" s="116"/>
    </row>
    <row r="411">
      <c r="B411" s="116"/>
    </row>
    <row r="412">
      <c r="B412" s="116"/>
    </row>
    <row r="413">
      <c r="B413" s="116"/>
    </row>
    <row r="414">
      <c r="B414" s="116"/>
    </row>
    <row r="415">
      <c r="B415" s="116"/>
    </row>
    <row r="416">
      <c r="B416" s="116"/>
    </row>
    <row r="417">
      <c r="B417" s="116"/>
    </row>
    <row r="418">
      <c r="B418" s="116"/>
    </row>
    <row r="419">
      <c r="B419" s="116"/>
    </row>
    <row r="420">
      <c r="B420" s="116"/>
    </row>
    <row r="421">
      <c r="B421" s="116"/>
    </row>
    <row r="422">
      <c r="B422" s="116"/>
    </row>
    <row r="423">
      <c r="B423" s="116"/>
    </row>
    <row r="424">
      <c r="B424" s="116"/>
    </row>
    <row r="425">
      <c r="B425" s="116"/>
    </row>
    <row r="426">
      <c r="B426" s="116"/>
    </row>
    <row r="427">
      <c r="B427" s="116"/>
    </row>
    <row r="428">
      <c r="B428" s="116"/>
    </row>
    <row r="429">
      <c r="B429" s="116"/>
    </row>
    <row r="430">
      <c r="B430" s="116"/>
    </row>
    <row r="431">
      <c r="B431" s="116"/>
    </row>
    <row r="432">
      <c r="B432" s="116"/>
    </row>
    <row r="433">
      <c r="B433" s="116"/>
    </row>
    <row r="434">
      <c r="B434" s="116"/>
    </row>
    <row r="435">
      <c r="B435" s="116"/>
    </row>
    <row r="436">
      <c r="B436" s="116"/>
    </row>
    <row r="437">
      <c r="B437" s="116"/>
    </row>
    <row r="438">
      <c r="B438" s="116"/>
    </row>
    <row r="439">
      <c r="B439" s="116"/>
    </row>
    <row r="440">
      <c r="B440" s="116"/>
    </row>
    <row r="441">
      <c r="B441" s="116"/>
    </row>
    <row r="442">
      <c r="B442" s="116"/>
    </row>
    <row r="443">
      <c r="B443" s="116"/>
    </row>
    <row r="444">
      <c r="B444" s="116"/>
    </row>
    <row r="445">
      <c r="B445" s="116"/>
    </row>
    <row r="446">
      <c r="B446" s="116"/>
    </row>
    <row r="447">
      <c r="B447" s="116"/>
    </row>
    <row r="448">
      <c r="B448" s="116"/>
    </row>
    <row r="449">
      <c r="B449" s="116"/>
    </row>
    <row r="450">
      <c r="B450" s="116"/>
    </row>
    <row r="451">
      <c r="B451" s="116"/>
    </row>
    <row r="452">
      <c r="B452" s="116"/>
    </row>
    <row r="453">
      <c r="B453" s="116"/>
    </row>
    <row r="454">
      <c r="B454" s="116"/>
    </row>
    <row r="455">
      <c r="B455" s="116"/>
    </row>
    <row r="456">
      <c r="B456" s="116"/>
    </row>
    <row r="457">
      <c r="B457" s="116"/>
    </row>
    <row r="458">
      <c r="B458" s="116"/>
    </row>
    <row r="459">
      <c r="B459" s="116"/>
    </row>
    <row r="460">
      <c r="B460" s="116"/>
    </row>
    <row r="461">
      <c r="B461" s="116"/>
    </row>
    <row r="462">
      <c r="B462" s="116"/>
    </row>
    <row r="463">
      <c r="B463" s="116"/>
    </row>
    <row r="464">
      <c r="B464" s="116"/>
    </row>
    <row r="465">
      <c r="B465" s="116"/>
    </row>
    <row r="466">
      <c r="B466" s="116"/>
    </row>
    <row r="467">
      <c r="B467" s="116"/>
    </row>
    <row r="468">
      <c r="B468" s="116"/>
    </row>
    <row r="469">
      <c r="B469" s="116"/>
    </row>
    <row r="470">
      <c r="B470" s="116"/>
    </row>
    <row r="471">
      <c r="B471" s="116"/>
    </row>
    <row r="472">
      <c r="B472" s="116"/>
    </row>
    <row r="473">
      <c r="B473" s="116"/>
    </row>
    <row r="474">
      <c r="B474" s="116"/>
    </row>
    <row r="475">
      <c r="B475" s="116"/>
    </row>
    <row r="476">
      <c r="B476" s="116"/>
    </row>
    <row r="477">
      <c r="B477" s="116"/>
    </row>
    <row r="478">
      <c r="B478" s="116"/>
    </row>
    <row r="479">
      <c r="B479" s="116"/>
    </row>
    <row r="480">
      <c r="B480" s="116"/>
    </row>
    <row r="481">
      <c r="B481" s="116"/>
    </row>
    <row r="482">
      <c r="B482" s="116"/>
    </row>
    <row r="483">
      <c r="B483" s="116"/>
    </row>
    <row r="484">
      <c r="B484" s="116"/>
    </row>
    <row r="485">
      <c r="B485" s="116"/>
    </row>
    <row r="486">
      <c r="B486" s="116"/>
    </row>
    <row r="487">
      <c r="B487" s="116"/>
    </row>
    <row r="488">
      <c r="B488" s="116"/>
    </row>
    <row r="489">
      <c r="B489" s="116"/>
    </row>
    <row r="490">
      <c r="B490" s="116"/>
    </row>
    <row r="491">
      <c r="B491" s="116"/>
    </row>
    <row r="492">
      <c r="B492" s="116"/>
    </row>
    <row r="493">
      <c r="B493" s="116"/>
    </row>
    <row r="494">
      <c r="B494" s="116"/>
    </row>
    <row r="495">
      <c r="B495" s="116"/>
    </row>
    <row r="496">
      <c r="B496" s="116"/>
    </row>
    <row r="497">
      <c r="B497" s="116"/>
    </row>
    <row r="498">
      <c r="B498" s="116"/>
    </row>
    <row r="499">
      <c r="B499" s="116"/>
    </row>
    <row r="500">
      <c r="B500" s="116"/>
    </row>
    <row r="501">
      <c r="B501" s="116"/>
    </row>
    <row r="502">
      <c r="B502" s="116"/>
    </row>
    <row r="503">
      <c r="B503" s="116"/>
    </row>
    <row r="504">
      <c r="B504" s="116"/>
    </row>
    <row r="505">
      <c r="B505" s="116"/>
    </row>
    <row r="506">
      <c r="B506" s="116"/>
    </row>
    <row r="507">
      <c r="B507" s="116"/>
    </row>
    <row r="508">
      <c r="B508" s="116"/>
    </row>
    <row r="509">
      <c r="B509" s="116"/>
    </row>
    <row r="510">
      <c r="B510" s="116"/>
    </row>
    <row r="511">
      <c r="B511" s="116"/>
    </row>
    <row r="512">
      <c r="B512" s="116"/>
    </row>
    <row r="513">
      <c r="B513" s="116"/>
    </row>
    <row r="514">
      <c r="B514" s="116"/>
    </row>
    <row r="515">
      <c r="B515" s="116"/>
    </row>
    <row r="516">
      <c r="B516" s="116"/>
    </row>
    <row r="517">
      <c r="B517" s="116"/>
    </row>
    <row r="518">
      <c r="B518" s="116"/>
    </row>
    <row r="519">
      <c r="B519" s="116"/>
    </row>
    <row r="520">
      <c r="B520" s="116"/>
    </row>
    <row r="521">
      <c r="B521" s="116"/>
    </row>
    <row r="522">
      <c r="B522" s="116"/>
    </row>
    <row r="523">
      <c r="B523" s="116"/>
    </row>
    <row r="524">
      <c r="B524" s="116"/>
    </row>
    <row r="525">
      <c r="B525" s="116"/>
    </row>
    <row r="526">
      <c r="B526" s="116"/>
    </row>
    <row r="527">
      <c r="B527" s="116"/>
    </row>
    <row r="528">
      <c r="B528" s="116"/>
    </row>
    <row r="529">
      <c r="B529" s="116"/>
    </row>
    <row r="530">
      <c r="B530" s="116"/>
    </row>
    <row r="531">
      <c r="B531" s="116"/>
    </row>
    <row r="532">
      <c r="B532" s="116"/>
    </row>
    <row r="533">
      <c r="B533" s="116"/>
    </row>
    <row r="534">
      <c r="B534" s="116"/>
    </row>
    <row r="535">
      <c r="B535" s="116"/>
    </row>
    <row r="536">
      <c r="B536" s="116"/>
    </row>
    <row r="537">
      <c r="B537" s="116"/>
    </row>
    <row r="538">
      <c r="B538" s="116"/>
    </row>
    <row r="539">
      <c r="B539" s="116"/>
    </row>
    <row r="540">
      <c r="B540" s="116"/>
    </row>
    <row r="541">
      <c r="B541" s="116"/>
    </row>
    <row r="542">
      <c r="B542" s="116"/>
    </row>
    <row r="543">
      <c r="B543" s="116"/>
    </row>
    <row r="544">
      <c r="B544" s="116"/>
    </row>
    <row r="545">
      <c r="B545" s="116"/>
    </row>
    <row r="546">
      <c r="B546" s="116"/>
    </row>
    <row r="547">
      <c r="B547" s="116"/>
    </row>
    <row r="548">
      <c r="B548" s="116"/>
    </row>
    <row r="549">
      <c r="B549" s="116"/>
    </row>
    <row r="550">
      <c r="B550" s="116"/>
    </row>
    <row r="551">
      <c r="B551" s="116"/>
    </row>
    <row r="552">
      <c r="B552" s="116"/>
    </row>
    <row r="553">
      <c r="B553" s="116"/>
    </row>
    <row r="554">
      <c r="B554" s="116"/>
    </row>
    <row r="555">
      <c r="B555" s="116"/>
    </row>
    <row r="556">
      <c r="B556" s="116"/>
    </row>
    <row r="557">
      <c r="B557" s="116"/>
    </row>
    <row r="558">
      <c r="B558" s="116"/>
    </row>
    <row r="559">
      <c r="B559" s="116"/>
    </row>
    <row r="560">
      <c r="B560" s="116"/>
    </row>
    <row r="561">
      <c r="B561" s="116"/>
    </row>
    <row r="562">
      <c r="B562" s="116"/>
    </row>
    <row r="563">
      <c r="B563" s="116"/>
    </row>
    <row r="564">
      <c r="B564" s="116"/>
    </row>
    <row r="565">
      <c r="B565" s="116"/>
    </row>
    <row r="566">
      <c r="B566" s="116"/>
    </row>
    <row r="567">
      <c r="B567" s="116"/>
    </row>
    <row r="568">
      <c r="B568" s="116"/>
    </row>
    <row r="569">
      <c r="B569" s="116"/>
    </row>
    <row r="570">
      <c r="B570" s="116"/>
    </row>
    <row r="571">
      <c r="B571" s="116"/>
    </row>
    <row r="572">
      <c r="B572" s="116"/>
    </row>
    <row r="573">
      <c r="B573" s="116"/>
    </row>
    <row r="574">
      <c r="B574" s="116"/>
    </row>
    <row r="575">
      <c r="B575" s="116"/>
    </row>
    <row r="576">
      <c r="B576" s="116"/>
    </row>
    <row r="577">
      <c r="B577" s="116"/>
    </row>
    <row r="578">
      <c r="B578" s="116"/>
    </row>
    <row r="579">
      <c r="B579" s="116"/>
    </row>
    <row r="580">
      <c r="B580" s="116"/>
    </row>
    <row r="581">
      <c r="B581" s="116"/>
    </row>
    <row r="582">
      <c r="B582" s="116"/>
    </row>
    <row r="583">
      <c r="B583" s="116"/>
    </row>
    <row r="584">
      <c r="B584" s="116"/>
    </row>
    <row r="585">
      <c r="B585" s="116"/>
    </row>
    <row r="586">
      <c r="B586" s="116"/>
    </row>
    <row r="587">
      <c r="B587" s="116"/>
    </row>
    <row r="588">
      <c r="B588" s="116"/>
    </row>
    <row r="589">
      <c r="B589" s="116"/>
    </row>
    <row r="590">
      <c r="B590" s="116"/>
    </row>
    <row r="591">
      <c r="B591" s="116"/>
    </row>
    <row r="592">
      <c r="B592" s="116"/>
    </row>
    <row r="593">
      <c r="B593" s="116"/>
    </row>
    <row r="594">
      <c r="B594" s="116"/>
    </row>
    <row r="595">
      <c r="B595" s="116"/>
    </row>
    <row r="596">
      <c r="B596" s="116"/>
    </row>
    <row r="597">
      <c r="B597" s="116"/>
    </row>
    <row r="598">
      <c r="B598" s="116"/>
    </row>
    <row r="599">
      <c r="B599" s="116"/>
    </row>
    <row r="600">
      <c r="B600" s="116"/>
    </row>
    <row r="601">
      <c r="B601" s="116"/>
    </row>
    <row r="602">
      <c r="B602" s="116"/>
    </row>
    <row r="603">
      <c r="B603" s="116"/>
    </row>
    <row r="604">
      <c r="B604" s="116"/>
    </row>
    <row r="605">
      <c r="B605" s="116"/>
    </row>
    <row r="606">
      <c r="B606" s="116"/>
    </row>
    <row r="607">
      <c r="B607" s="116"/>
    </row>
    <row r="608">
      <c r="B608" s="116"/>
    </row>
    <row r="609">
      <c r="B609" s="116"/>
    </row>
    <row r="610">
      <c r="B610" s="116"/>
    </row>
    <row r="611">
      <c r="B611" s="116"/>
    </row>
    <row r="612">
      <c r="B612" s="116"/>
    </row>
    <row r="613">
      <c r="B613" s="116"/>
    </row>
    <row r="614">
      <c r="B614" s="116"/>
    </row>
    <row r="615">
      <c r="B615" s="116"/>
    </row>
    <row r="616">
      <c r="B616" s="116"/>
    </row>
    <row r="617">
      <c r="B617" s="116"/>
    </row>
    <row r="618">
      <c r="B618" s="116"/>
    </row>
    <row r="619">
      <c r="B619" s="116"/>
    </row>
    <row r="620">
      <c r="B620" s="116"/>
    </row>
    <row r="621">
      <c r="B621" s="116"/>
    </row>
    <row r="622">
      <c r="B622" s="116"/>
    </row>
    <row r="623">
      <c r="B623" s="116"/>
    </row>
    <row r="624">
      <c r="B624" s="116"/>
    </row>
    <row r="625">
      <c r="B625" s="116"/>
    </row>
    <row r="626">
      <c r="B626" s="116"/>
    </row>
    <row r="627">
      <c r="B627" s="116"/>
    </row>
    <row r="628">
      <c r="B628" s="116"/>
    </row>
    <row r="629">
      <c r="B629" s="116"/>
    </row>
    <row r="630">
      <c r="B630" s="116"/>
    </row>
    <row r="631">
      <c r="B631" s="116"/>
    </row>
    <row r="632">
      <c r="B632" s="116"/>
    </row>
    <row r="633">
      <c r="B633" s="116"/>
    </row>
    <row r="634">
      <c r="B634" s="116"/>
    </row>
    <row r="635">
      <c r="B635" s="116"/>
    </row>
    <row r="636">
      <c r="B636" s="116"/>
    </row>
    <row r="637">
      <c r="B637" s="116"/>
    </row>
    <row r="638">
      <c r="B638" s="116"/>
    </row>
    <row r="639">
      <c r="B639" s="116"/>
    </row>
    <row r="640">
      <c r="B640" s="116"/>
    </row>
    <row r="641">
      <c r="B641" s="116"/>
    </row>
    <row r="642">
      <c r="B642" s="116"/>
    </row>
    <row r="643">
      <c r="B643" s="116"/>
    </row>
    <row r="644">
      <c r="B644" s="116"/>
    </row>
    <row r="645">
      <c r="B645" s="116"/>
    </row>
    <row r="646">
      <c r="B646" s="116"/>
    </row>
    <row r="647">
      <c r="B647" s="116"/>
    </row>
    <row r="648">
      <c r="B648" s="116"/>
    </row>
    <row r="649">
      <c r="B649" s="116"/>
    </row>
    <row r="650">
      <c r="B650" s="116"/>
    </row>
    <row r="651">
      <c r="B651" s="116"/>
    </row>
    <row r="652">
      <c r="B652" s="116"/>
    </row>
    <row r="653">
      <c r="B653" s="116"/>
    </row>
    <row r="654">
      <c r="B654" s="116"/>
    </row>
    <row r="655">
      <c r="B655" s="116"/>
    </row>
    <row r="656">
      <c r="B656" s="116"/>
    </row>
    <row r="657">
      <c r="B657" s="116"/>
    </row>
    <row r="658">
      <c r="B658" s="116"/>
    </row>
    <row r="659">
      <c r="B659" s="116"/>
    </row>
    <row r="660">
      <c r="B660" s="116"/>
    </row>
    <row r="661">
      <c r="B661" s="116"/>
    </row>
    <row r="662">
      <c r="B662" s="116"/>
    </row>
    <row r="663">
      <c r="B663" s="116"/>
    </row>
    <row r="664">
      <c r="B664" s="116"/>
    </row>
    <row r="665">
      <c r="B665" s="116"/>
    </row>
    <row r="666">
      <c r="B666" s="116"/>
    </row>
    <row r="667">
      <c r="B667" s="116"/>
    </row>
    <row r="668">
      <c r="B668" s="116"/>
    </row>
    <row r="669">
      <c r="B669" s="116"/>
    </row>
    <row r="670">
      <c r="B670" s="116"/>
    </row>
    <row r="671">
      <c r="B671" s="116"/>
    </row>
    <row r="672">
      <c r="B672" s="116"/>
    </row>
    <row r="673">
      <c r="B673" s="116"/>
    </row>
    <row r="674">
      <c r="B674" s="116"/>
    </row>
    <row r="675">
      <c r="B675" s="116"/>
    </row>
    <row r="676">
      <c r="B676" s="116"/>
    </row>
    <row r="677">
      <c r="B677" s="116"/>
    </row>
    <row r="678">
      <c r="B678" s="116"/>
    </row>
    <row r="679">
      <c r="B679" s="116"/>
    </row>
    <row r="680">
      <c r="B680" s="116"/>
    </row>
    <row r="681">
      <c r="B681" s="116"/>
    </row>
    <row r="682">
      <c r="B682" s="116"/>
    </row>
    <row r="683">
      <c r="B683" s="116"/>
    </row>
    <row r="684">
      <c r="B684" s="116"/>
    </row>
    <row r="685">
      <c r="B685" s="116"/>
    </row>
    <row r="686">
      <c r="B686" s="116"/>
    </row>
    <row r="687">
      <c r="B687" s="116"/>
    </row>
    <row r="688">
      <c r="B688" s="116"/>
    </row>
    <row r="689">
      <c r="B689" s="116"/>
    </row>
    <row r="690">
      <c r="B690" s="116"/>
    </row>
    <row r="691">
      <c r="B691" s="116"/>
    </row>
    <row r="692">
      <c r="B692" s="116"/>
    </row>
    <row r="693">
      <c r="B693" s="116"/>
    </row>
    <row r="694">
      <c r="B694" s="116"/>
    </row>
    <row r="695">
      <c r="B695" s="116"/>
    </row>
    <row r="696">
      <c r="B696" s="116"/>
    </row>
    <row r="697">
      <c r="B697" s="116"/>
    </row>
    <row r="698">
      <c r="B698" s="116"/>
    </row>
    <row r="699">
      <c r="B699" s="116"/>
    </row>
    <row r="700">
      <c r="B700" s="116"/>
    </row>
    <row r="701">
      <c r="B701" s="116"/>
    </row>
    <row r="702">
      <c r="B702" s="116"/>
    </row>
    <row r="703">
      <c r="B703" s="116"/>
    </row>
    <row r="704">
      <c r="B704" s="116"/>
    </row>
    <row r="705">
      <c r="B705" s="116"/>
    </row>
    <row r="706">
      <c r="B706" s="116"/>
    </row>
    <row r="707">
      <c r="B707" s="116"/>
    </row>
    <row r="708">
      <c r="B708" s="116"/>
    </row>
    <row r="709">
      <c r="B709" s="116"/>
    </row>
    <row r="710">
      <c r="B710" s="116"/>
    </row>
    <row r="711">
      <c r="B711" s="116"/>
    </row>
    <row r="712">
      <c r="B712" s="116"/>
    </row>
    <row r="713">
      <c r="B713" s="116"/>
    </row>
    <row r="714">
      <c r="B714" s="116"/>
    </row>
    <row r="715">
      <c r="B715" s="116"/>
    </row>
    <row r="716">
      <c r="B716" s="116"/>
    </row>
    <row r="717">
      <c r="B717" s="116"/>
    </row>
    <row r="718">
      <c r="B718" s="116"/>
    </row>
    <row r="719">
      <c r="B719" s="116"/>
    </row>
    <row r="720">
      <c r="B720" s="116"/>
    </row>
    <row r="721">
      <c r="B721" s="116"/>
    </row>
    <row r="722">
      <c r="B722" s="116"/>
    </row>
    <row r="723">
      <c r="B723" s="116"/>
    </row>
    <row r="724">
      <c r="B724" s="116"/>
    </row>
    <row r="725">
      <c r="B725" s="116"/>
    </row>
    <row r="726">
      <c r="B726" s="116"/>
    </row>
    <row r="727">
      <c r="B727" s="116"/>
    </row>
    <row r="728">
      <c r="B728" s="116"/>
    </row>
    <row r="729">
      <c r="B729" s="116"/>
    </row>
    <row r="730">
      <c r="B730" s="116"/>
    </row>
    <row r="731">
      <c r="B731" s="116"/>
    </row>
    <row r="732">
      <c r="B732" s="116"/>
    </row>
    <row r="733">
      <c r="B733" s="116"/>
    </row>
    <row r="734">
      <c r="B734" s="116"/>
    </row>
    <row r="735">
      <c r="B735" s="116"/>
    </row>
    <row r="736">
      <c r="B736" s="116"/>
    </row>
    <row r="737">
      <c r="B737" s="116"/>
    </row>
    <row r="738">
      <c r="B738" s="116"/>
    </row>
    <row r="739">
      <c r="B739" s="116"/>
    </row>
    <row r="740">
      <c r="B740" s="116"/>
    </row>
    <row r="741">
      <c r="B741" s="116"/>
    </row>
    <row r="742">
      <c r="B742" s="116"/>
    </row>
    <row r="743">
      <c r="B743" s="116"/>
    </row>
    <row r="744">
      <c r="B744" s="116"/>
    </row>
    <row r="745">
      <c r="B745" s="116"/>
    </row>
    <row r="746">
      <c r="B746" s="116"/>
    </row>
    <row r="747">
      <c r="B747" s="116"/>
    </row>
    <row r="748">
      <c r="B748" s="116"/>
    </row>
    <row r="749">
      <c r="B749" s="116"/>
    </row>
    <row r="750">
      <c r="B750" s="116"/>
    </row>
    <row r="751">
      <c r="B751" s="116"/>
    </row>
    <row r="752">
      <c r="B752" s="116"/>
    </row>
    <row r="753">
      <c r="B753" s="116"/>
    </row>
    <row r="754">
      <c r="B754" s="116"/>
    </row>
    <row r="755">
      <c r="B755" s="116"/>
    </row>
    <row r="756">
      <c r="B756" s="116"/>
    </row>
    <row r="757">
      <c r="B757" s="116"/>
    </row>
    <row r="758">
      <c r="B758" s="116"/>
    </row>
    <row r="759">
      <c r="B759" s="116"/>
    </row>
    <row r="760">
      <c r="B760" s="116"/>
    </row>
    <row r="761">
      <c r="B761" s="116"/>
    </row>
    <row r="762">
      <c r="B762" s="116"/>
    </row>
    <row r="763">
      <c r="B763" s="116"/>
    </row>
    <row r="764">
      <c r="B764" s="116"/>
    </row>
    <row r="765">
      <c r="B765" s="116"/>
    </row>
    <row r="766">
      <c r="B766" s="116"/>
    </row>
    <row r="767">
      <c r="B767" s="116"/>
    </row>
    <row r="768">
      <c r="B768" s="116"/>
    </row>
    <row r="769">
      <c r="B769" s="116"/>
    </row>
    <row r="770">
      <c r="B770" s="116"/>
    </row>
    <row r="771">
      <c r="B771" s="116"/>
    </row>
    <row r="772">
      <c r="B772" s="116"/>
    </row>
    <row r="773">
      <c r="B773" s="116"/>
    </row>
    <row r="774">
      <c r="B774" s="116"/>
    </row>
    <row r="775">
      <c r="B775" s="116"/>
    </row>
    <row r="776">
      <c r="B776" s="116"/>
    </row>
    <row r="777">
      <c r="B777" s="116"/>
    </row>
    <row r="778">
      <c r="B778" s="116"/>
    </row>
    <row r="779">
      <c r="B779" s="116"/>
    </row>
    <row r="780">
      <c r="B780" s="116"/>
    </row>
    <row r="781">
      <c r="B781" s="116"/>
    </row>
    <row r="782">
      <c r="B782" s="116"/>
    </row>
    <row r="783">
      <c r="B783" s="116"/>
    </row>
    <row r="784">
      <c r="B784" s="116"/>
    </row>
    <row r="785">
      <c r="B785" s="116"/>
    </row>
    <row r="786">
      <c r="B786" s="116"/>
    </row>
    <row r="787">
      <c r="B787" s="116"/>
    </row>
    <row r="788">
      <c r="B788" s="116"/>
    </row>
    <row r="789">
      <c r="B789" s="116"/>
    </row>
    <row r="790">
      <c r="B790" s="116"/>
    </row>
    <row r="791">
      <c r="B791" s="116"/>
    </row>
    <row r="792">
      <c r="B792" s="116"/>
    </row>
    <row r="793">
      <c r="B793" s="116"/>
    </row>
    <row r="794">
      <c r="B794" s="116"/>
    </row>
    <row r="795">
      <c r="B795" s="116"/>
    </row>
    <row r="796">
      <c r="B796" s="116"/>
    </row>
    <row r="797">
      <c r="B797" s="116"/>
    </row>
    <row r="798">
      <c r="B798" s="116"/>
    </row>
    <row r="799">
      <c r="B799" s="116"/>
    </row>
    <row r="800">
      <c r="B800" s="116"/>
    </row>
    <row r="801">
      <c r="B801" s="116"/>
    </row>
    <row r="802">
      <c r="B802" s="116"/>
    </row>
    <row r="803">
      <c r="B803" s="116"/>
    </row>
    <row r="804">
      <c r="B804" s="116"/>
    </row>
    <row r="805">
      <c r="B805" s="116"/>
    </row>
    <row r="806">
      <c r="B806" s="116"/>
    </row>
    <row r="807">
      <c r="B807" s="116"/>
    </row>
    <row r="808">
      <c r="B808" s="116"/>
    </row>
    <row r="809">
      <c r="B809" s="116"/>
    </row>
    <row r="810">
      <c r="B810" s="116"/>
    </row>
    <row r="811">
      <c r="B811" s="116"/>
    </row>
    <row r="812">
      <c r="B812" s="116"/>
    </row>
    <row r="813">
      <c r="B813" s="116"/>
    </row>
    <row r="814">
      <c r="B814" s="116"/>
    </row>
    <row r="815">
      <c r="B815" s="116"/>
    </row>
    <row r="816">
      <c r="B816" s="116"/>
    </row>
    <row r="817">
      <c r="B817" s="116"/>
    </row>
    <row r="818">
      <c r="B818" s="116"/>
    </row>
    <row r="819">
      <c r="B819" s="116"/>
    </row>
    <row r="820">
      <c r="B820" s="116"/>
    </row>
    <row r="821">
      <c r="B821" s="116"/>
    </row>
    <row r="822">
      <c r="B822" s="116"/>
    </row>
    <row r="823">
      <c r="B823" s="116"/>
    </row>
    <row r="824">
      <c r="B824" s="116"/>
    </row>
    <row r="825">
      <c r="B825" s="116"/>
    </row>
    <row r="826">
      <c r="B826" s="116"/>
    </row>
    <row r="827">
      <c r="B827" s="116"/>
    </row>
    <row r="828">
      <c r="B828" s="116"/>
    </row>
    <row r="829">
      <c r="B829" s="116"/>
    </row>
    <row r="830">
      <c r="B830" s="116"/>
    </row>
    <row r="831">
      <c r="B831" s="116"/>
    </row>
    <row r="832">
      <c r="B832" s="116"/>
    </row>
    <row r="833">
      <c r="B833" s="116"/>
    </row>
    <row r="834">
      <c r="B834" s="116"/>
    </row>
    <row r="835">
      <c r="B835" s="116"/>
    </row>
    <row r="836">
      <c r="B836" s="116"/>
    </row>
    <row r="837">
      <c r="B837" s="116"/>
    </row>
    <row r="838">
      <c r="B838" s="116"/>
    </row>
    <row r="839">
      <c r="B839" s="116"/>
    </row>
    <row r="840">
      <c r="B840" s="116"/>
    </row>
    <row r="841">
      <c r="B841" s="116"/>
    </row>
    <row r="842">
      <c r="B842" s="116"/>
    </row>
    <row r="843">
      <c r="B843" s="116"/>
    </row>
    <row r="844">
      <c r="B844" s="116"/>
    </row>
    <row r="845">
      <c r="B845" s="116"/>
    </row>
    <row r="846">
      <c r="B846" s="116"/>
    </row>
    <row r="847">
      <c r="B847" s="116"/>
    </row>
    <row r="848">
      <c r="B848" s="116"/>
    </row>
    <row r="849">
      <c r="B849" s="116"/>
    </row>
    <row r="850">
      <c r="B850" s="116"/>
    </row>
    <row r="851">
      <c r="B851" s="116"/>
    </row>
    <row r="852">
      <c r="B852" s="116"/>
    </row>
    <row r="853">
      <c r="B853" s="116"/>
    </row>
    <row r="854">
      <c r="B854" s="116"/>
    </row>
    <row r="855">
      <c r="B855" s="116"/>
    </row>
    <row r="856">
      <c r="B856" s="116"/>
    </row>
    <row r="857">
      <c r="B857" s="116"/>
    </row>
    <row r="858">
      <c r="B858" s="116"/>
    </row>
    <row r="859">
      <c r="B859" s="116"/>
    </row>
    <row r="860">
      <c r="B860" s="116"/>
    </row>
    <row r="861">
      <c r="B861" s="116"/>
    </row>
    <row r="862">
      <c r="B862" s="116"/>
    </row>
    <row r="863">
      <c r="B863" s="116"/>
    </row>
    <row r="864">
      <c r="B864" s="116"/>
    </row>
    <row r="865">
      <c r="B865" s="116"/>
    </row>
    <row r="866">
      <c r="B866" s="116"/>
    </row>
    <row r="867">
      <c r="B867" s="116"/>
    </row>
    <row r="868">
      <c r="B868" s="116"/>
    </row>
    <row r="869">
      <c r="B869" s="116"/>
    </row>
    <row r="870">
      <c r="B870" s="116"/>
    </row>
    <row r="871">
      <c r="B871" s="116"/>
    </row>
    <row r="872">
      <c r="B872" s="116"/>
    </row>
    <row r="873">
      <c r="B873" s="116"/>
    </row>
    <row r="874">
      <c r="B874" s="116"/>
    </row>
    <row r="875">
      <c r="B875" s="116"/>
    </row>
    <row r="876">
      <c r="B876" s="116"/>
    </row>
    <row r="877">
      <c r="B877" s="116"/>
    </row>
    <row r="878">
      <c r="B878" s="116"/>
    </row>
    <row r="879">
      <c r="B879" s="116"/>
    </row>
    <row r="880">
      <c r="B880" s="116"/>
    </row>
    <row r="881">
      <c r="B881" s="116"/>
    </row>
    <row r="882">
      <c r="B882" s="116"/>
    </row>
    <row r="883">
      <c r="B883" s="116"/>
    </row>
    <row r="884">
      <c r="B884" s="116"/>
    </row>
    <row r="885">
      <c r="B885" s="116"/>
    </row>
    <row r="886">
      <c r="B886" s="116"/>
    </row>
    <row r="887">
      <c r="B887" s="116"/>
    </row>
    <row r="888">
      <c r="B888" s="116"/>
    </row>
    <row r="889">
      <c r="B889" s="116"/>
    </row>
    <row r="890">
      <c r="B890" s="116"/>
    </row>
    <row r="891">
      <c r="B891" s="116"/>
    </row>
    <row r="892">
      <c r="B892" s="116"/>
    </row>
    <row r="893">
      <c r="B893" s="116"/>
    </row>
    <row r="894">
      <c r="B894" s="116"/>
    </row>
    <row r="895">
      <c r="B895" s="116"/>
    </row>
    <row r="896">
      <c r="B896" s="116"/>
    </row>
    <row r="897">
      <c r="B897" s="116"/>
    </row>
    <row r="898">
      <c r="B898" s="116"/>
    </row>
    <row r="899">
      <c r="B899" s="116"/>
    </row>
    <row r="900">
      <c r="B900" s="116"/>
    </row>
    <row r="901">
      <c r="B901" s="116"/>
    </row>
    <row r="902">
      <c r="B902" s="116"/>
    </row>
    <row r="903">
      <c r="B903" s="116"/>
    </row>
    <row r="904">
      <c r="B904" s="116"/>
    </row>
    <row r="905">
      <c r="B905" s="116"/>
    </row>
    <row r="906">
      <c r="B906" s="116"/>
    </row>
    <row r="907">
      <c r="B907" s="116"/>
    </row>
    <row r="908">
      <c r="B908" s="116"/>
    </row>
    <row r="909">
      <c r="B909" s="116"/>
    </row>
    <row r="910">
      <c r="B910" s="116"/>
    </row>
    <row r="911">
      <c r="B911" s="116"/>
    </row>
    <row r="912">
      <c r="B912" s="116"/>
    </row>
    <row r="913">
      <c r="B913" s="116"/>
    </row>
    <row r="914">
      <c r="B914" s="116"/>
    </row>
    <row r="915">
      <c r="B915" s="116"/>
    </row>
    <row r="916">
      <c r="B916" s="116"/>
    </row>
    <row r="917">
      <c r="B917" s="116"/>
    </row>
    <row r="918">
      <c r="B918" s="116"/>
    </row>
    <row r="919">
      <c r="B919" s="116"/>
    </row>
    <row r="920">
      <c r="B920" s="116"/>
    </row>
    <row r="921">
      <c r="B921" s="116"/>
    </row>
    <row r="922">
      <c r="B922" s="116"/>
    </row>
    <row r="923">
      <c r="B923" s="116"/>
    </row>
    <row r="924">
      <c r="B924" s="116"/>
    </row>
    <row r="925">
      <c r="B925" s="116"/>
    </row>
    <row r="926">
      <c r="B926" s="116"/>
    </row>
    <row r="927">
      <c r="B927" s="116"/>
    </row>
    <row r="928">
      <c r="B928" s="116"/>
    </row>
    <row r="929">
      <c r="B929" s="116"/>
    </row>
    <row r="930">
      <c r="B930" s="116"/>
    </row>
    <row r="931">
      <c r="B931" s="116"/>
    </row>
    <row r="932">
      <c r="B932" s="116"/>
    </row>
    <row r="933">
      <c r="B933" s="116"/>
    </row>
    <row r="934">
      <c r="B934" s="116"/>
    </row>
    <row r="935">
      <c r="B935" s="116"/>
    </row>
    <row r="936">
      <c r="B936" s="116"/>
    </row>
    <row r="937">
      <c r="B937" s="116"/>
    </row>
    <row r="938">
      <c r="B938" s="116"/>
    </row>
    <row r="939">
      <c r="B939" s="116"/>
    </row>
    <row r="940">
      <c r="B940" s="116"/>
    </row>
    <row r="941">
      <c r="B941" s="116"/>
    </row>
    <row r="942">
      <c r="B942" s="116"/>
    </row>
    <row r="943">
      <c r="B943" s="116"/>
    </row>
    <row r="944">
      <c r="B944" s="116"/>
    </row>
    <row r="945">
      <c r="B945" s="116"/>
    </row>
    <row r="946">
      <c r="B946" s="116"/>
    </row>
    <row r="947">
      <c r="B947" s="116"/>
    </row>
    <row r="948">
      <c r="B948" s="116"/>
    </row>
    <row r="949">
      <c r="B949" s="116"/>
    </row>
    <row r="950">
      <c r="B950" s="116"/>
    </row>
    <row r="951">
      <c r="B951" s="116"/>
    </row>
    <row r="952">
      <c r="B952" s="116"/>
    </row>
    <row r="953">
      <c r="B953" s="116"/>
    </row>
    <row r="954">
      <c r="B954" s="116"/>
    </row>
    <row r="955">
      <c r="B955" s="116"/>
    </row>
    <row r="956">
      <c r="B956" s="116"/>
    </row>
    <row r="957">
      <c r="B957" s="116"/>
    </row>
    <row r="958">
      <c r="B958" s="116"/>
    </row>
    <row r="959">
      <c r="B959" s="116"/>
    </row>
    <row r="960">
      <c r="B960" s="116"/>
    </row>
    <row r="961">
      <c r="B961" s="116"/>
    </row>
    <row r="962">
      <c r="B962" s="116"/>
    </row>
    <row r="963">
      <c r="B963" s="116"/>
    </row>
    <row r="964">
      <c r="B964" s="116"/>
    </row>
    <row r="965">
      <c r="B965" s="116"/>
    </row>
    <row r="966">
      <c r="B966" s="116"/>
    </row>
    <row r="967">
      <c r="B967" s="116"/>
    </row>
    <row r="968">
      <c r="B968" s="116"/>
    </row>
    <row r="969">
      <c r="B969" s="116"/>
    </row>
    <row r="970">
      <c r="B970" s="116"/>
    </row>
    <row r="971">
      <c r="B971" s="116"/>
    </row>
    <row r="972">
      <c r="B972" s="116"/>
    </row>
    <row r="973">
      <c r="B973" s="116"/>
    </row>
    <row r="974">
      <c r="B974" s="116"/>
    </row>
    <row r="975">
      <c r="B975" s="116"/>
    </row>
    <row r="976">
      <c r="B976" s="116"/>
    </row>
    <row r="977">
      <c r="B977" s="116"/>
    </row>
    <row r="978">
      <c r="B978" s="116"/>
    </row>
    <row r="979">
      <c r="B979" s="116"/>
    </row>
    <row r="980">
      <c r="B980" s="116"/>
    </row>
    <row r="981">
      <c r="B981" s="116"/>
    </row>
    <row r="982">
      <c r="B982" s="116"/>
    </row>
    <row r="983">
      <c r="B983" s="116"/>
    </row>
    <row r="984">
      <c r="B984" s="116"/>
    </row>
    <row r="985">
      <c r="B985" s="116"/>
    </row>
    <row r="986">
      <c r="B986" s="116"/>
    </row>
    <row r="987">
      <c r="B987" s="116"/>
    </row>
    <row r="988">
      <c r="B988" s="116"/>
    </row>
    <row r="989">
      <c r="B989" s="116"/>
    </row>
    <row r="990">
      <c r="B990" s="116"/>
    </row>
    <row r="991">
      <c r="B991" s="116"/>
    </row>
    <row r="992">
      <c r="B992" s="116"/>
    </row>
    <row r="993">
      <c r="B993" s="116"/>
    </row>
    <row r="994">
      <c r="B994" s="116"/>
    </row>
    <row r="995">
      <c r="B995" s="116"/>
    </row>
    <row r="996">
      <c r="B996" s="116"/>
    </row>
    <row r="997">
      <c r="B997" s="116"/>
    </row>
    <row r="998">
      <c r="B998" s="116"/>
    </row>
    <row r="999">
      <c r="B999" s="116"/>
    </row>
    <row r="1000">
      <c r="B1000" s="116"/>
    </row>
    <row r="1001">
      <c r="B1001" s="116"/>
    </row>
    <row r="1002">
      <c r="B1002" s="116"/>
    </row>
  </sheetData>
  <dataValidations>
    <dataValidation type="custom" allowBlank="1" showDropDown="1" sqref="L2">
      <formula1>OR(NOT(ISERROR(DATEVALUE(L2))), AND(ISNUMBER(L2), LEFT(CELL("format", L2))="D"))</formula1>
    </dataValidation>
    <dataValidation type="custom" allowBlank="1" showDropDown="1" sqref="A2:A28">
      <formula1>OR(NOT(ISERROR(DATEVALUE(A2))), AND(ISNUMBER(A2), LEFT(CELL("format", A2))="D"))</formula1>
    </dataValidation>
    <dataValidation type="list" allowBlank="1" sqref="B2:B28">
      <formula1>"買進,賣出,股息"</formula1>
    </dataValidation>
    <dataValidation allowBlank="1" showDropDown="1" sqref="M2 C2:C28"/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2" max="22" width="13.63"/>
    <col customWidth="1" min="23" max="23" width="16.25"/>
  </cols>
  <sheetData>
    <row r="1" ht="22.5" customHeight="1">
      <c r="A1" s="2" t="s">
        <v>86</v>
      </c>
      <c r="B1" s="169" t="s">
        <v>87</v>
      </c>
      <c r="C1" s="2" t="s">
        <v>120</v>
      </c>
      <c r="D1" s="170" t="s">
        <v>5</v>
      </c>
      <c r="E1" s="2" t="s">
        <v>121</v>
      </c>
      <c r="F1" s="2" t="s">
        <v>122</v>
      </c>
      <c r="G1" s="2" t="s">
        <v>1</v>
      </c>
      <c r="H1" s="2" t="s">
        <v>123</v>
      </c>
      <c r="I1" s="170" t="s">
        <v>124</v>
      </c>
      <c r="J1" s="2" t="s">
        <v>125</v>
      </c>
      <c r="K1" s="2" t="s">
        <v>3</v>
      </c>
      <c r="L1" s="2" t="s">
        <v>126</v>
      </c>
      <c r="M1" s="171" t="s">
        <v>4</v>
      </c>
      <c r="N1" s="2" t="s">
        <v>97</v>
      </c>
    </row>
    <row r="2" ht="22.5" customHeight="1">
      <c r="A2" s="172">
        <f>IFERROR(__xludf.DUMMYFUNCTION("FILTER(表_1, 表_1[買賣別]=""賣出"")"),45699.11039351852)</f>
        <v>45699.11039</v>
      </c>
      <c r="B2" s="95" t="str">
        <f>IFERROR(__xludf.DUMMYFUNCTION("""COMPUTED_VALUE"""),"賣出")</f>
        <v>賣出</v>
      </c>
      <c r="C2" s="95" t="str">
        <f>IFERROR(__xludf.DUMMYFUNCTION("""COMPUTED_VALUE"""),"富邦")</f>
        <v>富邦</v>
      </c>
      <c r="D2" s="21" t="str">
        <f>IFERROR(__xludf.DUMMYFUNCTION("""COMPUTED_VALUE"""),"TSLA")</f>
        <v>TSLA</v>
      </c>
      <c r="E2" s="22">
        <f>IFERROR(__xludf.DUMMYFUNCTION("""COMPUTED_VALUE"""),4.0)</f>
        <v>4</v>
      </c>
      <c r="F2" s="22">
        <f>IFERROR(__xludf.DUMMYFUNCTION("""COMPUTED_VALUE"""),332.0)</f>
        <v>332</v>
      </c>
      <c r="G2" s="154">
        <f>IFERROR(__xludf.DUMMYFUNCTION("""COMPUTED_VALUE"""),1324.68)</f>
        <v>1324.68</v>
      </c>
      <c r="H2" s="38">
        <f>IFERROR(__xludf.DUMMYFUNCTION("""COMPUTED_VALUE"""),43530.32)</f>
        <v>43530.32</v>
      </c>
      <c r="I2" s="38">
        <f>IFERROR(__xludf.DUMMYFUNCTION("""COMPUTED_VALUE"""),1537.56)</f>
        <v>1537.56</v>
      </c>
      <c r="J2" s="23">
        <f>IFERROR(__xludf.DUMMYFUNCTION("""COMPUTED_VALUE"""),50668.0)</f>
        <v>50668</v>
      </c>
      <c r="K2" s="22">
        <v>-212.92</v>
      </c>
      <c r="L2" s="173">
        <v>-7012.0</v>
      </c>
      <c r="M2" s="74">
        <v>-0.1385</v>
      </c>
      <c r="N2" s="22">
        <v>32.93</v>
      </c>
    </row>
    <row r="3" ht="22.5" customHeight="1">
      <c r="A3" s="172">
        <f>IFERROR(__xludf.DUMMYFUNCTION("""COMPUTED_VALUE"""),45729.0)</f>
        <v>45729</v>
      </c>
      <c r="B3" s="95" t="str">
        <f>IFERROR(__xludf.DUMMYFUNCTION("""COMPUTED_VALUE"""),"賣出")</f>
        <v>賣出</v>
      </c>
      <c r="C3" s="95" t="str">
        <f>IFERROR(__xludf.DUMMYFUNCTION("""COMPUTED_VALUE"""),"firstrade")</f>
        <v>firstrade</v>
      </c>
      <c r="D3" s="21" t="str">
        <f>IFERROR(__xludf.DUMMYFUNCTION("""COMPUTED_VALUE"""),"LFWD")</f>
        <v>LFWD</v>
      </c>
      <c r="E3" s="20">
        <f>IFERROR(__xludf.DUMMYFUNCTION("""COMPUTED_VALUE"""),300.0)</f>
        <v>300</v>
      </c>
      <c r="F3" s="20">
        <f>IFERROR(__xludf.DUMMYFUNCTION("""COMPUTED_VALUE"""),2.7501)</f>
        <v>2.7501</v>
      </c>
      <c r="G3" s="41">
        <f>IFERROR(__xludf.DUMMYFUNCTION("""COMPUTED_VALUE"""),825.0300000000001)</f>
        <v>825.03</v>
      </c>
      <c r="H3" s="54">
        <f>IFERROR(__xludf.DUMMYFUNCTION("""COMPUTED_VALUE"""),27083.622552739416)</f>
        <v>27083.62255</v>
      </c>
      <c r="I3" s="20">
        <f>IFERROR(__xludf.DUMMYFUNCTION("""COMPUTED_VALUE"""),522.0)</f>
        <v>522</v>
      </c>
      <c r="J3" s="11">
        <f>IFERROR(__xludf.DUMMYFUNCTION("""COMPUTED_VALUE"""),17135.923508878433)</f>
        <v>17135.92351</v>
      </c>
      <c r="K3" s="13">
        <f t="shared" ref="K3:L3" si="1">G3-I3</f>
        <v>303.03</v>
      </c>
      <c r="L3" s="40">
        <f t="shared" si="1"/>
        <v>9947.699044</v>
      </c>
      <c r="M3" s="14">
        <f t="shared" ref="M3:M39" si="3">L3/J3</f>
        <v>0.5805172414</v>
      </c>
      <c r="N3" s="41">
        <f>'總計'!J6</f>
        <v>31.233</v>
      </c>
      <c r="U3" s="174" t="s">
        <v>93</v>
      </c>
      <c r="V3" s="175" t="s">
        <v>127</v>
      </c>
      <c r="W3" s="175" t="s">
        <v>128</v>
      </c>
    </row>
    <row r="4" ht="22.5" customHeight="1">
      <c r="A4" s="176">
        <f>IFERROR(__xludf.DUMMYFUNCTION("""COMPUTED_VALUE"""),45729.0)</f>
        <v>45729</v>
      </c>
      <c r="B4" s="88" t="str">
        <f>IFERROR(__xludf.DUMMYFUNCTION("""COMPUTED_VALUE"""),"賣出")</f>
        <v>賣出</v>
      </c>
      <c r="C4" s="88" t="str">
        <f>IFERROR(__xludf.DUMMYFUNCTION("""COMPUTED_VALUE"""),"firstrade")</f>
        <v>firstrade</v>
      </c>
      <c r="D4" s="52" t="str">
        <f>IFERROR(__xludf.DUMMYFUNCTION("""COMPUTED_VALUE"""),"LFWD")</f>
        <v>LFWD</v>
      </c>
      <c r="E4" s="20">
        <f>IFERROR(__xludf.DUMMYFUNCTION("""COMPUTED_VALUE"""),150.0)</f>
        <v>150</v>
      </c>
      <c r="F4" s="20">
        <f>IFERROR(__xludf.DUMMYFUNCTION("""COMPUTED_VALUE"""),2.8)</f>
        <v>2.8</v>
      </c>
      <c r="G4" s="41">
        <f>IFERROR(__xludf.DUMMYFUNCTION("""COMPUTED_VALUE"""),420.0)</f>
        <v>420</v>
      </c>
      <c r="H4" s="54">
        <f>IFERROR(__xludf.DUMMYFUNCTION("""COMPUTED_VALUE"""),13787.524662315982)</f>
        <v>13787.52466</v>
      </c>
      <c r="I4" s="20">
        <f>IFERROR(__xludf.DUMMYFUNCTION("""COMPUTED_VALUE"""),260.99)</f>
        <v>260.99</v>
      </c>
      <c r="J4" s="20">
        <f>IFERROR(__xludf.DUMMYFUNCTION("""COMPUTED_VALUE"""),8567.633480042496)</f>
        <v>8567.63348</v>
      </c>
      <c r="K4" s="13">
        <f t="shared" ref="K4:L4" si="2">G4-I4</f>
        <v>159.01</v>
      </c>
      <c r="L4" s="40">
        <f t="shared" si="2"/>
        <v>5219.891182</v>
      </c>
      <c r="M4" s="14">
        <f t="shared" si="3"/>
        <v>0.6092570597</v>
      </c>
      <c r="N4" s="41">
        <f>'總計'!J6</f>
        <v>31.233</v>
      </c>
      <c r="U4" s="177" t="s">
        <v>45</v>
      </c>
      <c r="V4" s="178">
        <f t="shared" ref="V4:W4" si="4">sum(I:I)</f>
        <v>14780.0795</v>
      </c>
      <c r="W4" s="179">
        <f t="shared" si="4"/>
        <v>481175.0719</v>
      </c>
    </row>
    <row r="5" ht="22.5" customHeight="1">
      <c r="A5" s="176">
        <f>IFERROR(__xludf.DUMMYFUNCTION("""COMPUTED_VALUE"""),45729.0)</f>
        <v>45729</v>
      </c>
      <c r="B5" s="88" t="str">
        <f>IFERROR(__xludf.DUMMYFUNCTION("""COMPUTED_VALUE"""),"賣出")</f>
        <v>賣出</v>
      </c>
      <c r="C5" s="88" t="str">
        <f>IFERROR(__xludf.DUMMYFUNCTION("""COMPUTED_VALUE"""),"富邦")</f>
        <v>富邦</v>
      </c>
      <c r="D5" s="52" t="str">
        <f>IFERROR(__xludf.DUMMYFUNCTION("""COMPUTED_VALUE"""),"LFWD")</f>
        <v>LFWD</v>
      </c>
      <c r="E5" s="20">
        <f>IFERROR(__xludf.DUMMYFUNCTION("""COMPUTED_VALUE"""),200.0)</f>
        <v>200</v>
      </c>
      <c r="F5" s="20">
        <f>IFERROR(__xludf.DUMMYFUNCTION("""COMPUTED_VALUE"""),2.74)</f>
        <v>2.74</v>
      </c>
      <c r="G5" s="41">
        <f>IFERROR(__xludf.DUMMYFUNCTION("""COMPUTED_VALUE"""),546.63)</f>
        <v>546.63</v>
      </c>
      <c r="H5" s="54">
        <f>IFERROR(__xludf.DUMMYFUNCTION("""COMPUTED_VALUE"""),18050.0)</f>
        <v>18050</v>
      </c>
      <c r="I5" s="20">
        <f>IFERROR(__xludf.DUMMYFUNCTION("""COMPUTED_VALUE"""),481.2)</f>
        <v>481.2</v>
      </c>
      <c r="J5" s="180">
        <f>IFERROR(__xludf.DUMMYFUNCTION("""COMPUTED_VALUE"""),15832.0)</f>
        <v>15832</v>
      </c>
      <c r="K5" s="13">
        <f t="shared" ref="K5:L5" si="5">G5-I5</f>
        <v>65.43</v>
      </c>
      <c r="L5" s="40">
        <f t="shared" si="5"/>
        <v>2218</v>
      </c>
      <c r="M5" s="14">
        <f t="shared" si="3"/>
        <v>0.1400960081</v>
      </c>
      <c r="N5" s="22">
        <v>32.9</v>
      </c>
      <c r="U5" s="177" t="s">
        <v>1</v>
      </c>
      <c r="V5" s="178">
        <f t="shared" ref="V5:W5" si="6">sum(G:G)</f>
        <v>18009.64127</v>
      </c>
      <c r="W5" s="179">
        <f t="shared" si="6"/>
        <v>587516.7094</v>
      </c>
    </row>
    <row r="6" ht="22.5" customHeight="1">
      <c r="A6" s="129">
        <f>IFERROR(__xludf.DUMMYFUNCTION("""COMPUTED_VALUE"""),45755.0)</f>
        <v>45755</v>
      </c>
      <c r="B6" s="20" t="str">
        <f>IFERROR(__xludf.DUMMYFUNCTION("""COMPUTED_VALUE"""),"賣出")</f>
        <v>賣出</v>
      </c>
      <c r="C6" s="20" t="str">
        <f>IFERROR(__xludf.DUMMYFUNCTION("""COMPUTED_VALUE"""),"firstrade")</f>
        <v>firstrade</v>
      </c>
      <c r="D6" s="52" t="str">
        <f>IFERROR(__xludf.DUMMYFUNCTION("""COMPUTED_VALUE"""),"TSLZ")</f>
        <v>TSLZ</v>
      </c>
      <c r="E6" s="20">
        <f>IFERROR(__xludf.DUMMYFUNCTION("""COMPUTED_VALUE"""),5.0)</f>
        <v>5</v>
      </c>
      <c r="F6" s="20">
        <f>IFERROR(__xludf.DUMMYFUNCTION("""COMPUTED_VALUE"""),111.0)</f>
        <v>111</v>
      </c>
      <c r="G6" s="41">
        <f>IFERROR(__xludf.DUMMYFUNCTION("""COMPUTED_VALUE"""),555.0)</f>
        <v>555</v>
      </c>
      <c r="H6" s="54">
        <f>IFERROR(__xludf.DUMMYFUNCTION("""COMPUTED_VALUE"""),18219.229018060403)</f>
        <v>18219.22902</v>
      </c>
      <c r="I6" s="20">
        <f>IFERROR(__xludf.DUMMYFUNCTION("""COMPUTED_VALUE"""),504.5)</f>
        <v>504.5</v>
      </c>
      <c r="J6" s="20">
        <f>IFERROR(__xludf.DUMMYFUNCTION("""COMPUTED_VALUE"""),16561.44331461527)</f>
        <v>16561.44331</v>
      </c>
      <c r="K6" s="13">
        <f t="shared" ref="K6:L6" si="7">G6-I6</f>
        <v>50.5</v>
      </c>
      <c r="L6" s="40">
        <f t="shared" si="7"/>
        <v>1657.785703</v>
      </c>
      <c r="M6" s="14">
        <f t="shared" si="3"/>
        <v>0.100099108</v>
      </c>
      <c r="N6" s="20"/>
      <c r="U6" s="177" t="s">
        <v>129</v>
      </c>
      <c r="V6" s="181">
        <f t="shared" ref="V6:W6" si="8">V5-V4</f>
        <v>3229.56177</v>
      </c>
      <c r="W6" s="182">
        <f t="shared" si="8"/>
        <v>106341.6375</v>
      </c>
    </row>
    <row r="7" ht="22.5" customHeight="1">
      <c r="A7" s="183">
        <f>IFERROR(__xludf.DUMMYFUNCTION("""COMPUTED_VALUE"""),45756.0)</f>
        <v>45756</v>
      </c>
      <c r="B7" s="20" t="str">
        <f>IFERROR(__xludf.DUMMYFUNCTION("""COMPUTED_VALUE"""),"賣出")</f>
        <v>賣出</v>
      </c>
      <c r="C7" s="20" t="str">
        <f>IFERROR(__xludf.DUMMYFUNCTION("""COMPUTED_VALUE"""),"firstrade")</f>
        <v>firstrade</v>
      </c>
      <c r="D7" s="52" t="str">
        <f>IFERROR(__xludf.DUMMYFUNCTION("""COMPUTED_VALUE"""),"BRK-B")</f>
        <v>BRK-B</v>
      </c>
      <c r="E7" s="20">
        <f>IFERROR(__xludf.DUMMYFUNCTION("""COMPUTED_VALUE"""),1.0)</f>
        <v>1</v>
      </c>
      <c r="F7" s="20">
        <f>IFERROR(__xludf.DUMMYFUNCTION("""COMPUTED_VALUE"""),515.0)</f>
        <v>515</v>
      </c>
      <c r="G7" s="41">
        <f>IFERROR(__xludf.DUMMYFUNCTION("""COMPUTED_VALUE"""),515.0)</f>
        <v>515</v>
      </c>
      <c r="H7" s="54">
        <f>IFERROR(__xludf.DUMMYFUNCTION("""COMPUTED_VALUE"""),16906.13143117317)</f>
        <v>16906.13143</v>
      </c>
      <c r="I7" s="20">
        <f>IFERROR(__xludf.DUMMYFUNCTION("""COMPUTED_VALUE"""),482.59)</f>
        <v>482.59</v>
      </c>
      <c r="J7" s="20">
        <f>IFERROR(__xludf.DUMMYFUNCTION("""COMPUTED_VALUE"""),15842.194111397785)</f>
        <v>15842.19411</v>
      </c>
      <c r="K7" s="13">
        <f t="shared" ref="K7:L7" si="9">G7-I7</f>
        <v>32.41</v>
      </c>
      <c r="L7" s="40">
        <f t="shared" si="9"/>
        <v>1063.93732</v>
      </c>
      <c r="M7" s="14">
        <f t="shared" si="3"/>
        <v>0.06715845749</v>
      </c>
      <c r="N7" s="20"/>
      <c r="U7" s="177" t="s">
        <v>4</v>
      </c>
      <c r="V7" s="184">
        <f t="shared" ref="V7:W7" si="10">V6/V4</f>
        <v>0.2185077401</v>
      </c>
      <c r="W7" s="184">
        <f t="shared" si="10"/>
        <v>0.2210040455</v>
      </c>
    </row>
    <row r="8" ht="22.5" customHeight="1">
      <c r="A8" s="183">
        <f>IFERROR(__xludf.DUMMYFUNCTION("""COMPUTED_VALUE"""),45770.0)</f>
        <v>45770</v>
      </c>
      <c r="B8" s="20" t="str">
        <f>IFERROR(__xludf.DUMMYFUNCTION("""COMPUTED_VALUE"""),"賣出")</f>
        <v>賣出</v>
      </c>
      <c r="C8" s="20" t="str">
        <f>IFERROR(__xludf.DUMMYFUNCTION("""COMPUTED_VALUE"""),"firstrade")</f>
        <v>firstrade</v>
      </c>
      <c r="D8" s="52" t="str">
        <f>IFERROR(__xludf.DUMMYFUNCTION("""COMPUTED_VALUE"""),"GLD")</f>
        <v>GLD</v>
      </c>
      <c r="E8" s="20">
        <f>IFERROR(__xludf.DUMMYFUNCTION("""COMPUTED_VALUE"""),1.0)</f>
        <v>1</v>
      </c>
      <c r="F8" s="20">
        <f>IFERROR(__xludf.DUMMYFUNCTION("""COMPUTED_VALUE"""),302.78)</f>
        <v>302.78</v>
      </c>
      <c r="G8" s="41">
        <f>IFERROR(__xludf.DUMMYFUNCTION("""COMPUTED_VALUE"""),302.78)</f>
        <v>302.78</v>
      </c>
      <c r="H8" s="54">
        <f>IFERROR(__xludf.DUMMYFUNCTION("""COMPUTED_VALUE"""),9939.492183942935)</f>
        <v>9939.492184</v>
      </c>
      <c r="I8" s="20">
        <f>IFERROR(__xludf.DUMMYFUNCTION("""COMPUTED_VALUE"""),287.55)</f>
        <v>287.55</v>
      </c>
      <c r="J8" s="20">
        <f>IFERROR(__xludf.DUMMYFUNCTION("""COMPUTED_VALUE"""),9439.530277735621)</f>
        <v>9439.530278</v>
      </c>
      <c r="K8" s="13">
        <f t="shared" ref="K8:L8" si="11">G8-I8</f>
        <v>15.23</v>
      </c>
      <c r="L8" s="40">
        <f t="shared" si="11"/>
        <v>499.9619062</v>
      </c>
      <c r="M8" s="14">
        <f t="shared" si="3"/>
        <v>0.05296470179</v>
      </c>
      <c r="N8" s="20"/>
    </row>
    <row r="9" ht="22.5" customHeight="1">
      <c r="A9" s="183">
        <f>IFERROR(__xludf.DUMMYFUNCTION("""COMPUTED_VALUE"""),45778.0)</f>
        <v>45778</v>
      </c>
      <c r="B9" s="20" t="str">
        <f>IFERROR(__xludf.DUMMYFUNCTION("""COMPUTED_VALUE"""),"賣出")</f>
        <v>賣出</v>
      </c>
      <c r="C9" s="20" t="str">
        <f>IFERROR(__xludf.DUMMYFUNCTION("""COMPUTED_VALUE"""),"firstrade")</f>
        <v>firstrade</v>
      </c>
      <c r="D9" s="52" t="str">
        <f>IFERROR(__xludf.DUMMYFUNCTION("""COMPUTED_VALUE"""),"TSLL")</f>
        <v>TSLL</v>
      </c>
      <c r="E9" s="20">
        <f>IFERROR(__xludf.DUMMYFUNCTION("""COMPUTED_VALUE"""),135.0)</f>
        <v>135</v>
      </c>
      <c r="F9" s="20">
        <f>IFERROR(__xludf.DUMMYFUNCTION("""COMPUTED_VALUE"""),10.79)</f>
        <v>10.79</v>
      </c>
      <c r="G9" s="41">
        <f>IFERROR(__xludf.DUMMYFUNCTION("""COMPUTED_VALUE"""),1456.6499999999999)</f>
        <v>1456.65</v>
      </c>
      <c r="H9" s="54">
        <f>IFERROR(__xludf.DUMMYFUNCTION("""COMPUTED_VALUE"""),47818.08999848232)</f>
        <v>47818.09</v>
      </c>
      <c r="I9" s="41">
        <f>IFERROR(__xludf.DUMMYFUNCTION("""COMPUTED_VALUE"""),1181.0500000000002)</f>
        <v>1181.05</v>
      </c>
      <c r="J9" s="20">
        <f>IFERROR(__xludf.DUMMYFUNCTION("""COMPUTED_VALUE"""),38770.847624829265)</f>
        <v>38770.84762</v>
      </c>
      <c r="K9" s="13">
        <f t="shared" ref="K9:L9" si="12">G9-I9</f>
        <v>275.6</v>
      </c>
      <c r="L9" s="40">
        <f t="shared" si="12"/>
        <v>9047.242374</v>
      </c>
      <c r="M9" s="14">
        <f t="shared" si="3"/>
        <v>0.2333516786</v>
      </c>
      <c r="N9" s="20"/>
      <c r="P9" s="185"/>
    </row>
    <row r="10" ht="22.5" customHeight="1">
      <c r="A10" s="183">
        <f>IFERROR(__xludf.DUMMYFUNCTION("""COMPUTED_VALUE"""),45779.0)</f>
        <v>45779</v>
      </c>
      <c r="B10" s="20" t="str">
        <f>IFERROR(__xludf.DUMMYFUNCTION("""COMPUTED_VALUE"""),"賣出")</f>
        <v>賣出</v>
      </c>
      <c r="C10" s="20" t="str">
        <f>IFERROR(__xludf.DUMMYFUNCTION("""COMPUTED_VALUE"""),"firstrade")</f>
        <v>firstrade</v>
      </c>
      <c r="D10" s="52" t="str">
        <f>IFERROR(__xludf.DUMMYFUNCTION("""COMPUTED_VALUE"""),"PLTR")</f>
        <v>PLTR</v>
      </c>
      <c r="E10" s="20">
        <f>IFERROR(__xludf.DUMMYFUNCTION("""COMPUTED_VALUE"""),7.0)</f>
        <v>7</v>
      </c>
      <c r="F10" s="20">
        <f>IFERROR(__xludf.DUMMYFUNCTION("""COMPUTED_VALUE"""),122.01)</f>
        <v>122.01</v>
      </c>
      <c r="G10" s="41">
        <f>IFERROR(__xludf.DUMMYFUNCTION("""COMPUTED_VALUE"""),854.07)</f>
        <v>854.07</v>
      </c>
      <c r="H10" s="54">
        <f>IFERROR(__xludf.DUMMYFUNCTION("""COMPUTED_VALUE"""),28036.93140081955)</f>
        <v>28036.9314</v>
      </c>
      <c r="I10" s="41">
        <f>IFERROR(__xludf.DUMMYFUNCTION("""COMPUTED_VALUE"""),657.1995)</f>
        <v>657.1995</v>
      </c>
      <c r="J10" s="20">
        <f>IFERROR(__xludf.DUMMYFUNCTION("""COMPUTED_VALUE"""),21574.176938837456)</f>
        <v>21574.17694</v>
      </c>
      <c r="K10" s="13">
        <f t="shared" ref="K10:L10" si="13">G10-I10</f>
        <v>196.8705</v>
      </c>
      <c r="L10" s="40">
        <f t="shared" si="13"/>
        <v>6462.754462</v>
      </c>
      <c r="M10" s="14">
        <f t="shared" si="3"/>
        <v>0.2995597227</v>
      </c>
      <c r="N10" s="20"/>
    </row>
    <row r="11" ht="22.5" customHeight="1">
      <c r="A11" s="183">
        <f>IFERROR(__xludf.DUMMYFUNCTION("""COMPUTED_VALUE"""),45751.0)</f>
        <v>45751</v>
      </c>
      <c r="B11" s="20" t="str">
        <f>IFERROR(__xludf.DUMMYFUNCTION("""COMPUTED_VALUE"""),"賣出")</f>
        <v>賣出</v>
      </c>
      <c r="C11" s="20" t="str">
        <f>IFERROR(__xludf.DUMMYFUNCTION("""COMPUTED_VALUE"""),"firstrade")</f>
        <v>firstrade</v>
      </c>
      <c r="D11" s="52" t="str">
        <f>IFERROR(__xludf.DUMMYFUNCTION("""COMPUTED_VALUE"""),"kpop")</f>
        <v>kpop</v>
      </c>
      <c r="E11" s="20">
        <f>IFERROR(__xludf.DUMMYFUNCTION("""COMPUTED_VALUE"""),1.0)</f>
        <v>1</v>
      </c>
      <c r="F11" s="20">
        <f>IFERROR(__xludf.DUMMYFUNCTION("""COMPUTED_VALUE"""),13.93)</f>
        <v>13.93</v>
      </c>
      <c r="G11" s="41">
        <f>IFERROR(__xludf.DUMMYFUNCTION("""COMPUTED_VALUE"""),13.93)</f>
        <v>13.93</v>
      </c>
      <c r="H11" s="54">
        <f>IFERROR(__xludf.DUMMYFUNCTION("""COMPUTED_VALUE"""),457.28623463348003)</f>
        <v>457.2862346</v>
      </c>
      <c r="I11" s="41">
        <f>IFERROR(__xludf.DUMMYFUNCTION("""COMPUTED_VALUE"""),15.5)</f>
        <v>15.5</v>
      </c>
      <c r="J11" s="20">
        <f>IFERROR(__xludf.DUMMYFUNCTION("""COMPUTED_VALUE"""),508.82531491880405)</f>
        <v>508.8253149</v>
      </c>
      <c r="K11" s="13">
        <f t="shared" ref="K11:L11" si="14">G11-I11</f>
        <v>-1.57</v>
      </c>
      <c r="L11" s="40">
        <f t="shared" si="14"/>
        <v>-51.53908029</v>
      </c>
      <c r="M11" s="14">
        <f t="shared" si="3"/>
        <v>-0.1012903226</v>
      </c>
      <c r="N11" s="20"/>
    </row>
    <row r="12" ht="22.5" customHeight="1">
      <c r="A12" s="183">
        <f>IFERROR(__xludf.DUMMYFUNCTION("""COMPUTED_VALUE"""),45814.0)</f>
        <v>45814</v>
      </c>
      <c r="B12" s="20" t="str">
        <f>IFERROR(__xludf.DUMMYFUNCTION("""COMPUTED_VALUE"""),"賣出")</f>
        <v>賣出</v>
      </c>
      <c r="C12" s="20" t="str">
        <f>IFERROR(__xludf.DUMMYFUNCTION("""COMPUTED_VALUE"""),"firstrade")</f>
        <v>firstrade</v>
      </c>
      <c r="D12" s="52" t="str">
        <f>IFERROR(__xludf.DUMMYFUNCTION("""COMPUTED_VALUE"""),"NVDA")</f>
        <v>NVDA</v>
      </c>
      <c r="E12" s="20">
        <f>IFERROR(__xludf.DUMMYFUNCTION("""COMPUTED_VALUE"""),10.0)</f>
        <v>10</v>
      </c>
      <c r="F12" s="20">
        <f>IFERROR(__xludf.DUMMYFUNCTION("""COMPUTED_VALUE"""),141.58)</f>
        <v>141.58</v>
      </c>
      <c r="G12" s="41">
        <f>IFERROR(__xludf.DUMMYFUNCTION("""COMPUTED_VALUE"""),1415.8000000000002)</f>
        <v>1415.8</v>
      </c>
      <c r="H12" s="54">
        <f>IFERROR(__xludf.DUMMYFUNCTION("""COMPUTED_VALUE"""),46477.089087873734)</f>
        <v>46477.08909</v>
      </c>
      <c r="I12" s="41">
        <f>IFERROR(__xludf.DUMMYFUNCTION("""COMPUTED_VALUE"""),1214.7)</f>
        <v>1214.7</v>
      </c>
      <c r="J12" s="20">
        <f>IFERROR(__xludf.DUMMYFUNCTION("""COMPUTED_VALUE"""),39875.49096979815)</f>
        <v>39875.49097</v>
      </c>
      <c r="K12" s="13">
        <f t="shared" ref="K12:L12" si="15">G12-I12</f>
        <v>201.1</v>
      </c>
      <c r="L12" s="40">
        <f t="shared" si="15"/>
        <v>6601.598118</v>
      </c>
      <c r="M12" s="14">
        <f t="shared" si="3"/>
        <v>0.1655552811</v>
      </c>
      <c r="N12" s="20"/>
    </row>
    <row r="13" ht="22.5" customHeight="1">
      <c r="A13" s="183">
        <f>IFERROR(__xludf.DUMMYFUNCTION("""COMPUTED_VALUE"""),45821.0)</f>
        <v>45821</v>
      </c>
      <c r="B13" s="20" t="str">
        <f>IFERROR(__xludf.DUMMYFUNCTION("""COMPUTED_VALUE"""),"賣出")</f>
        <v>賣出</v>
      </c>
      <c r="C13" s="20" t="str">
        <f>IFERROR(__xludf.DUMMYFUNCTION("""COMPUTED_VALUE"""),"firstrade")</f>
        <v>firstrade</v>
      </c>
      <c r="D13" s="52" t="str">
        <f>IFERROR(__xludf.DUMMYFUNCTION("""COMPUTED_VALUE"""),"GLD")</f>
        <v>GLD</v>
      </c>
      <c r="E13" s="20">
        <f>IFERROR(__xludf.DUMMYFUNCTION("""COMPUTED_VALUE"""),2.0)</f>
        <v>2</v>
      </c>
      <c r="F13" s="20">
        <f>IFERROR(__xludf.DUMMYFUNCTION("""COMPUTED_VALUE"""),317.22)</f>
        <v>317.22</v>
      </c>
      <c r="G13" s="41">
        <f>IFERROR(__xludf.DUMMYFUNCTION("""COMPUTED_VALUE"""),634.44)</f>
        <v>634.44</v>
      </c>
      <c r="H13" s="54">
        <f>IFERROR(__xludf.DUMMYFUNCTION("""COMPUTED_VALUE"""),20827.040825618456)</f>
        <v>20827.04083</v>
      </c>
      <c r="I13" s="20">
        <f>IFERROR(__xludf.DUMMYFUNCTION("""COMPUTED_VALUE"""),575.1)</f>
        <v>575.1</v>
      </c>
      <c r="J13" s="20">
        <f>IFERROR(__xludf.DUMMYFUNCTION("""COMPUTED_VALUE"""),18877.547959413296)</f>
        <v>18877.54796</v>
      </c>
      <c r="K13" s="13">
        <f t="shared" ref="K13:L13" si="16">G13-I13</f>
        <v>59.34</v>
      </c>
      <c r="L13" s="40">
        <f t="shared" si="16"/>
        <v>1949.492866</v>
      </c>
      <c r="M13" s="14">
        <f t="shared" si="3"/>
        <v>0.1032704497</v>
      </c>
      <c r="N13" s="20"/>
      <c r="P13" s="49"/>
    </row>
    <row r="14" ht="22.5" customHeight="1">
      <c r="A14" s="183">
        <f>IFERROR(__xludf.DUMMYFUNCTION("""COMPUTED_VALUE"""),45839.0)</f>
        <v>45839</v>
      </c>
      <c r="B14" s="20" t="str">
        <f>IFERROR(__xludf.DUMMYFUNCTION("""COMPUTED_VALUE"""),"賣出")</f>
        <v>賣出</v>
      </c>
      <c r="C14" s="20" t="str">
        <f>IFERROR(__xludf.DUMMYFUNCTION("""COMPUTED_VALUE"""),"firstrade")</f>
        <v>firstrade</v>
      </c>
      <c r="D14" s="52" t="str">
        <f>IFERROR(__xludf.DUMMYFUNCTION("""COMPUTED_VALUE"""),"GRAB")</f>
        <v>GRAB</v>
      </c>
      <c r="E14" s="20">
        <f>IFERROR(__xludf.DUMMYFUNCTION("""COMPUTED_VALUE"""),70.0)</f>
        <v>70</v>
      </c>
      <c r="F14" s="20">
        <f>IFERROR(__xludf.DUMMYFUNCTION("""COMPUTED_VALUE"""),5.025)</f>
        <v>5.025</v>
      </c>
      <c r="G14" s="41">
        <f>IFERROR(__xludf.DUMMYFUNCTION("""COMPUTED_VALUE"""),351.75)</f>
        <v>351.75</v>
      </c>
      <c r="H14" s="54">
        <f>IFERROR(__xludf.DUMMYFUNCTION("""COMPUTED_VALUE"""),11547.051904689635)</f>
        <v>11547.0519</v>
      </c>
      <c r="I14" s="41">
        <f>IFERROR(__xludf.DUMMYFUNCTION("""COMPUTED_VALUE"""),343.0)</f>
        <v>343</v>
      </c>
      <c r="J14" s="20">
        <f>IFERROR(__xludf.DUMMYFUNCTION("""COMPUTED_VALUE"""),11259.811807558051)</f>
        <v>11259.81181</v>
      </c>
      <c r="K14" s="13">
        <f t="shared" ref="K14:L14" si="17">G14-I14</f>
        <v>8.75</v>
      </c>
      <c r="L14" s="40">
        <f t="shared" si="17"/>
        <v>287.2400971</v>
      </c>
      <c r="M14" s="14">
        <f t="shared" si="3"/>
        <v>0.02551020408</v>
      </c>
      <c r="N14" s="20"/>
    </row>
    <row r="15" ht="22.5" customHeight="1">
      <c r="A15" s="183">
        <f>IFERROR(__xludf.DUMMYFUNCTION("""COMPUTED_VALUE"""),45856.0)</f>
        <v>45856</v>
      </c>
      <c r="B15" s="20" t="str">
        <f>IFERROR(__xludf.DUMMYFUNCTION("""COMPUTED_VALUE"""),"賣出")</f>
        <v>賣出</v>
      </c>
      <c r="C15" s="20" t="str">
        <f>IFERROR(__xludf.DUMMYFUNCTION("""COMPUTED_VALUE"""),"firstrade")</f>
        <v>firstrade</v>
      </c>
      <c r="D15" s="52" t="str">
        <f>IFERROR(__xludf.DUMMYFUNCTION("""COMPUTED_VALUE"""),"INTC")</f>
        <v>INTC</v>
      </c>
      <c r="E15" s="52">
        <f>IFERROR(__xludf.DUMMYFUNCTION("""COMPUTED_VALUE"""),5.0)</f>
        <v>5</v>
      </c>
      <c r="F15" s="20">
        <f>IFERROR(__xludf.DUMMYFUNCTION("""COMPUTED_VALUE"""),23.38)</f>
        <v>23.38</v>
      </c>
      <c r="G15" s="41">
        <f>IFERROR(__xludf.DUMMYFUNCTION("""COMPUTED_VALUE"""),116.89999999999999)</f>
        <v>116.9</v>
      </c>
      <c r="H15" s="54">
        <f>IFERROR(__xludf.DUMMYFUNCTION("""COMPUTED_VALUE"""),3837.527697677948)</f>
        <v>3837.527698</v>
      </c>
      <c r="I15" s="41">
        <f>IFERROR(__xludf.DUMMYFUNCTION("""COMPUTED_VALUE"""),116.44999999999999)</f>
        <v>116.45</v>
      </c>
      <c r="J15" s="20">
        <f>IFERROR(__xludf.DUMMYFUNCTION("""COMPUTED_VALUE"""),3822.7553498254665)</f>
        <v>3822.75535</v>
      </c>
      <c r="K15" s="13">
        <f t="shared" ref="K15:L15" si="18">G15-I15</f>
        <v>0.45</v>
      </c>
      <c r="L15" s="40">
        <f t="shared" si="18"/>
        <v>14.77234785</v>
      </c>
      <c r="M15" s="14">
        <f t="shared" si="3"/>
        <v>0.00386431945</v>
      </c>
      <c r="N15" s="20"/>
    </row>
    <row r="16" ht="22.5" customHeight="1">
      <c r="A16" s="183">
        <f>IFERROR(__xludf.DUMMYFUNCTION("""COMPUTED_VALUE"""),45903.0)</f>
        <v>45903</v>
      </c>
      <c r="B16" s="20" t="str">
        <f>IFERROR(__xludf.DUMMYFUNCTION("""COMPUTED_VALUE"""),"賣出")</f>
        <v>賣出</v>
      </c>
      <c r="C16" s="20" t="str">
        <f>IFERROR(__xludf.DUMMYFUNCTION("""COMPUTED_VALUE"""),"firstrade")</f>
        <v>firstrade</v>
      </c>
      <c r="D16" s="52" t="str">
        <f>IFERROR(__xludf.DUMMYFUNCTION("""COMPUTED_VALUE"""),"O")</f>
        <v>O</v>
      </c>
      <c r="E16" s="20">
        <f>IFERROR(__xludf.DUMMYFUNCTION("""COMPUTED_VALUE"""),19.38294)</f>
        <v>19.38294</v>
      </c>
      <c r="F16" s="20">
        <f>IFERROR(__xludf.DUMMYFUNCTION("""COMPUTED_VALUE"""),57.96)</f>
        <v>57.96</v>
      </c>
      <c r="G16" s="41">
        <f>IFERROR(__xludf.DUMMYFUNCTION("""COMPUTED_VALUE"""),1123.4352024000002)</f>
        <v>1123.435202</v>
      </c>
      <c r="H16" s="54">
        <f>IFERROR(__xludf.DUMMYFUNCTION("""COMPUTED_VALUE"""),36879.501332390355)</f>
        <v>36879.50133</v>
      </c>
      <c r="I16" s="41">
        <f>IFERROR(__xludf.DUMMYFUNCTION("""COMPUTED_VALUE"""),1036.96)</f>
        <v>1036.96</v>
      </c>
      <c r="J16" s="20">
        <f>IFERROR(__xludf.DUMMYFUNCTION("""COMPUTED_VALUE"""),34040.74184246472)</f>
        <v>34040.74184</v>
      </c>
      <c r="K16" s="13">
        <f t="shared" ref="K16:L16" si="19">G16-I16</f>
        <v>86.4752024</v>
      </c>
      <c r="L16" s="40">
        <f t="shared" si="19"/>
        <v>2838.75949</v>
      </c>
      <c r="M16" s="14">
        <f t="shared" si="3"/>
        <v>0.08339299722</v>
      </c>
      <c r="N16" s="20"/>
    </row>
    <row r="17" ht="22.5" customHeight="1">
      <c r="A17" s="183">
        <f>IFERROR(__xludf.DUMMYFUNCTION("""COMPUTED_VALUE"""),45937.0)</f>
        <v>45937</v>
      </c>
      <c r="B17" s="20" t="str">
        <f>IFERROR(__xludf.DUMMYFUNCTION("""COMPUTED_VALUE"""),"賣出")</f>
        <v>賣出</v>
      </c>
      <c r="C17" s="20" t="str">
        <f>IFERROR(__xludf.DUMMYFUNCTION("""COMPUTED_VALUE"""),"firstrade")</f>
        <v>firstrade</v>
      </c>
      <c r="D17" s="52" t="str">
        <f>IFERROR(__xludf.DUMMYFUNCTION("""COMPUTED_VALUE"""),"V")</f>
        <v>V</v>
      </c>
      <c r="E17" s="20">
        <f>IFERROR(__xludf.DUMMYFUNCTION("""COMPUTED_VALUE"""),1.10253)</f>
        <v>1.10253</v>
      </c>
      <c r="F17" s="20">
        <f>IFERROR(__xludf.DUMMYFUNCTION("""COMPUTED_VALUE"""),350.64)</f>
        <v>350.64</v>
      </c>
      <c r="G17" s="41">
        <f>IFERROR(__xludf.DUMMYFUNCTION("""COMPUTED_VALUE"""),386.5911192)</f>
        <v>386.5911192</v>
      </c>
      <c r="H17" s="54">
        <f>IFERROR(__xludf.DUMMYFUNCTION("""COMPUTED_VALUE"""),12690.796643338897)</f>
        <v>12690.79664</v>
      </c>
      <c r="I17" s="41">
        <f>IFERROR(__xludf.DUMMYFUNCTION("""COMPUTED_VALUE"""),380.0135)</f>
        <v>380.0135</v>
      </c>
      <c r="J17" s="20">
        <f>IFERROR(__xludf.DUMMYFUNCTION("""COMPUTED_VALUE"""),12474.87024586432)</f>
        <v>12474.87025</v>
      </c>
      <c r="K17" s="13">
        <f t="shared" ref="K17:L17" si="20">G17-I17</f>
        <v>6.5776192</v>
      </c>
      <c r="L17" s="40">
        <f t="shared" si="20"/>
        <v>215.9263975</v>
      </c>
      <c r="M17" s="14">
        <f t="shared" si="3"/>
        <v>0.01730890929</v>
      </c>
      <c r="N17" s="20"/>
    </row>
    <row r="18" ht="22.5" customHeight="1">
      <c r="A18" s="183">
        <f>IFERROR(__xludf.DUMMYFUNCTION("""COMPUTED_VALUE"""),45937.0)</f>
        <v>45937</v>
      </c>
      <c r="B18" s="20" t="str">
        <f>IFERROR(__xludf.DUMMYFUNCTION("""COMPUTED_VALUE"""),"賣出")</f>
        <v>賣出</v>
      </c>
      <c r="C18" s="20" t="str">
        <f>IFERROR(__xludf.DUMMYFUNCTION("""COMPUTED_VALUE"""),"firstrade")</f>
        <v>firstrade</v>
      </c>
      <c r="D18" s="52" t="str">
        <f>IFERROR(__xludf.DUMMYFUNCTION("""COMPUTED_VALUE"""),"IWY")</f>
        <v>IWY</v>
      </c>
      <c r="E18" s="20">
        <f>IFERROR(__xludf.DUMMYFUNCTION("""COMPUTED_VALUE"""),1.00218)</f>
        <v>1.00218</v>
      </c>
      <c r="F18" s="20">
        <f>IFERROR(__xludf.DUMMYFUNCTION("""COMPUTED_VALUE"""),276.4501)</f>
        <v>276.4501</v>
      </c>
      <c r="G18" s="41">
        <f>IFERROR(__xludf.DUMMYFUNCTION("""COMPUTED_VALUE"""),277.05276121800006)</f>
        <v>277.0527612</v>
      </c>
      <c r="H18" s="54">
        <f>IFERROR(__xludf.DUMMYFUNCTION("""COMPUTED_VALUE"""),9094.93280489504)</f>
        <v>9094.932805</v>
      </c>
      <c r="I18" s="41">
        <f>IFERROR(__xludf.DUMMYFUNCTION("""COMPUTED_VALUE"""),223.1699)</f>
        <v>223.1699</v>
      </c>
      <c r="J18" s="20">
        <f>IFERROR(__xludf.DUMMYFUNCTION("""COMPUTED_VALUE"""),7326.096428896646)</f>
        <v>7326.096429</v>
      </c>
      <c r="K18" s="13">
        <f t="shared" ref="K18:L18" si="21">G18-I18</f>
        <v>53.88286122</v>
      </c>
      <c r="L18" s="40">
        <f t="shared" si="21"/>
        <v>1768.836376</v>
      </c>
      <c r="M18" s="14">
        <f t="shared" si="3"/>
        <v>0.2414432288</v>
      </c>
      <c r="N18" s="20"/>
    </row>
    <row r="19" ht="22.5" customHeight="1">
      <c r="A19" s="183">
        <f>IFERROR(__xludf.DUMMYFUNCTION("""COMPUTED_VALUE"""),45938.0)</f>
        <v>45938</v>
      </c>
      <c r="B19" s="20" t="str">
        <f>IFERROR(__xludf.DUMMYFUNCTION("""COMPUTED_VALUE"""),"賣出")</f>
        <v>賣出</v>
      </c>
      <c r="C19" s="20" t="str">
        <f>IFERROR(__xludf.DUMMYFUNCTION("""COMPUTED_VALUE"""),"firstrade")</f>
        <v>firstrade</v>
      </c>
      <c r="D19" s="52" t="str">
        <f>IFERROR(__xludf.DUMMYFUNCTION("""COMPUTED_VALUE"""),"QLD")</f>
        <v>QLD</v>
      </c>
      <c r="E19" s="20">
        <f>IFERROR(__xludf.DUMMYFUNCTION("""COMPUTED_VALUE"""),8.38758)</f>
        <v>8.38758</v>
      </c>
      <c r="F19" s="20">
        <f>IFERROR(__xludf.DUMMYFUNCTION("""COMPUTED_VALUE"""),139.84)</f>
        <v>139.84</v>
      </c>
      <c r="G19" s="41">
        <f>IFERROR(__xludf.DUMMYFUNCTION("""COMPUTED_VALUE"""),1172.9191872)</f>
        <v>1172.919187</v>
      </c>
      <c r="H19" s="54">
        <f>IFERROR(__xludf.DUMMYFUNCTION("""COMPUTED_VALUE"""),38503.93385815146)</f>
        <v>38503.93386</v>
      </c>
      <c r="I19" s="41">
        <f>IFERROR(__xludf.DUMMYFUNCTION("""COMPUTED_VALUE"""),976.57)</f>
        <v>976.57</v>
      </c>
      <c r="J19" s="20">
        <f>IFERROR(__xludf.DUMMYFUNCTION("""COMPUTED_VALUE"""),32058.292760661712)</f>
        <v>32058.29276</v>
      </c>
      <c r="K19" s="13">
        <f t="shared" ref="K19:L19" si="22">G19-I19</f>
        <v>196.3491872</v>
      </c>
      <c r="L19" s="40">
        <f t="shared" si="22"/>
        <v>6445.641097</v>
      </c>
      <c r="M19" s="14">
        <f t="shared" si="3"/>
        <v>0.2010600236</v>
      </c>
      <c r="N19" s="20"/>
    </row>
    <row r="20" ht="22.5" customHeight="1">
      <c r="A20" s="183">
        <f>IFERROR(__xludf.DUMMYFUNCTION("""COMPUTED_VALUE"""),45945.0)</f>
        <v>45945</v>
      </c>
      <c r="B20" s="20" t="str">
        <f>IFERROR(__xludf.DUMMYFUNCTION("""COMPUTED_VALUE"""),"賣出")</f>
        <v>賣出</v>
      </c>
      <c r="C20" s="20" t="str">
        <f>IFERROR(__xludf.DUMMYFUNCTION("""COMPUTED_VALUE"""),"富邦")</f>
        <v>富邦</v>
      </c>
      <c r="D20" s="52" t="str">
        <f>IFERROR(__xludf.DUMMYFUNCTION("""COMPUTED_VALUE"""),"TSLA")</f>
        <v>TSLA</v>
      </c>
      <c r="E20" s="46">
        <f>IFERROR(__xludf.DUMMYFUNCTION("""COMPUTED_VALUE"""),4.0)</f>
        <v>4</v>
      </c>
      <c r="F20" s="20">
        <f>IFERROR(__xludf.DUMMYFUNCTION("""COMPUTED_VALUE"""),431.7)</f>
        <v>431.7</v>
      </c>
      <c r="G20" s="41">
        <f>IFERROR(__xludf.DUMMYFUNCTION("""COMPUTED_VALUE"""),1722.483)</f>
        <v>1722.483</v>
      </c>
      <c r="H20" s="54">
        <f>IFERROR(__xludf.DUMMYFUNCTION("""COMPUTED_VALUE"""),52701.0)</f>
        <v>52701</v>
      </c>
      <c r="I20" s="41">
        <f>IFERROR(__xludf.DUMMYFUNCTION("""COMPUTED_VALUE"""),1265.7966000000001)</f>
        <v>1265.7966</v>
      </c>
      <c r="J20" s="54">
        <f>IFERROR(__xludf.DUMMYFUNCTION("""COMPUTED_VALUE"""),37308.0)</f>
        <v>37308</v>
      </c>
      <c r="K20" s="13">
        <f t="shared" ref="K20:L20" si="23">G20-I20</f>
        <v>456.6864</v>
      </c>
      <c r="L20" s="40">
        <f t="shared" si="23"/>
        <v>15393</v>
      </c>
      <c r="M20" s="14">
        <f t="shared" si="3"/>
        <v>0.4125924735</v>
      </c>
      <c r="N20" s="20"/>
    </row>
    <row r="21" ht="22.5" customHeight="1">
      <c r="A21" s="183">
        <f>IFERROR(__xludf.DUMMYFUNCTION("""COMPUTED_VALUE"""),45979.0)</f>
        <v>45979</v>
      </c>
      <c r="B21" s="20" t="str">
        <f>IFERROR(__xludf.DUMMYFUNCTION("""COMPUTED_VALUE"""),"賣出")</f>
        <v>賣出</v>
      </c>
      <c r="C21" s="20" t="str">
        <f>IFERROR(__xludf.DUMMYFUNCTION("""COMPUTED_VALUE"""),"firstrade")</f>
        <v>firstrade</v>
      </c>
      <c r="D21" s="52" t="str">
        <f>IFERROR(__xludf.DUMMYFUNCTION("""COMPUTED_VALUE"""),"TSLL")</f>
        <v>TSLL</v>
      </c>
      <c r="E21" s="46">
        <f>IFERROR(__xludf.DUMMYFUNCTION("""COMPUTED_VALUE"""),132.0)</f>
        <v>132</v>
      </c>
      <c r="F21" s="20">
        <f>IFERROR(__xludf.DUMMYFUNCTION("""COMPUTED_VALUE"""),17.0)</f>
        <v>17</v>
      </c>
      <c r="G21" s="41">
        <f>IFERROR(__xludf.DUMMYFUNCTION("""COMPUTED_VALUE"""),2244.0)</f>
        <v>2244</v>
      </c>
      <c r="H21" s="54">
        <f>IFERROR(__xludf.DUMMYFUNCTION("""COMPUTED_VALUE"""),73664.77462437395)</f>
        <v>73664.77462</v>
      </c>
      <c r="I21" s="41">
        <f>IFERROR(__xludf.DUMMYFUNCTION("""COMPUTED_VALUE"""),1575.83)</f>
        <v>1575.83</v>
      </c>
      <c r="J21" s="20">
        <f>IFERROR(__xludf.DUMMYFUNCTION("""COMPUTED_VALUE"""),51730.46425861284)</f>
        <v>51730.46426</v>
      </c>
      <c r="K21" s="13">
        <f t="shared" ref="K21:L21" si="24">G21-I21</f>
        <v>668.17</v>
      </c>
      <c r="L21" s="40">
        <f t="shared" si="24"/>
        <v>21934.31037</v>
      </c>
      <c r="M21" s="14">
        <f t="shared" si="3"/>
        <v>0.4240114733</v>
      </c>
      <c r="N21" s="20"/>
    </row>
    <row r="22" ht="22.5" customHeight="1">
      <c r="A22" s="183">
        <f>IFERROR(__xludf.DUMMYFUNCTION("""COMPUTED_VALUE"""),45979.0)</f>
        <v>45979</v>
      </c>
      <c r="B22" s="20" t="str">
        <f>IFERROR(__xludf.DUMMYFUNCTION("""COMPUTED_VALUE"""),"賣出")</f>
        <v>賣出</v>
      </c>
      <c r="C22" s="20" t="str">
        <f>IFERROR(__xludf.DUMMYFUNCTION("""COMPUTED_VALUE"""),"firstrade")</f>
        <v>firstrade</v>
      </c>
      <c r="D22" s="52" t="str">
        <f>IFERROR(__xludf.DUMMYFUNCTION("""COMPUTED_VALUE"""),"TSLL")</f>
        <v>TSLL</v>
      </c>
      <c r="E22" s="46">
        <f>IFERROR(__xludf.DUMMYFUNCTION("""COMPUTED_VALUE"""),100.0)</f>
        <v>100</v>
      </c>
      <c r="F22" s="20">
        <f>IFERROR(__xludf.DUMMYFUNCTION("""COMPUTED_VALUE"""),17.505)</f>
        <v>17.505</v>
      </c>
      <c r="G22" s="41">
        <f>IFERROR(__xludf.DUMMYFUNCTION("""COMPUTED_VALUE"""),1750.5)</f>
        <v>1750.5</v>
      </c>
      <c r="H22" s="54">
        <f>IFERROR(__xludf.DUMMYFUNCTION("""COMPUTED_VALUE"""),57464.43314615268)</f>
        <v>57464.43315</v>
      </c>
      <c r="I22" s="41">
        <f>IFERROR(__xludf.DUMMYFUNCTION("""COMPUTED_VALUE"""),1142.35)</f>
        <v>1142.35</v>
      </c>
      <c r="J22" s="20">
        <f>IFERROR(__xludf.DUMMYFUNCTION("""COMPUTED_VALUE"""),37500.42570951586)</f>
        <v>37500.42571</v>
      </c>
      <c r="K22" s="13">
        <f t="shared" ref="K22:L22" si="25">G22-I22</f>
        <v>608.15</v>
      </c>
      <c r="L22" s="40">
        <f t="shared" si="25"/>
        <v>19964.00744</v>
      </c>
      <c r="M22" s="14">
        <f t="shared" si="3"/>
        <v>0.5323674881</v>
      </c>
      <c r="N22" s="20"/>
    </row>
    <row r="23" ht="22.5" customHeight="1">
      <c r="A23" s="20"/>
      <c r="B23" s="20"/>
      <c r="C23" s="20"/>
      <c r="D23" s="52"/>
      <c r="E23" s="20"/>
      <c r="F23" s="20"/>
      <c r="G23" s="20"/>
      <c r="H23" s="20"/>
      <c r="I23" s="20"/>
      <c r="J23" s="20"/>
      <c r="K23" s="11">
        <f t="shared" ref="K23:L23" si="26">G23-I23</f>
        <v>0</v>
      </c>
      <c r="L23" s="40">
        <f t="shared" si="26"/>
        <v>0</v>
      </c>
      <c r="M23" s="14" t="str">
        <f t="shared" si="3"/>
        <v>#DIV/0!</v>
      </c>
      <c r="N23" s="20"/>
    </row>
    <row r="24" ht="22.5" customHeight="1">
      <c r="A24" s="20"/>
      <c r="B24" s="20"/>
      <c r="C24" s="20"/>
      <c r="D24" s="52"/>
      <c r="E24" s="20"/>
      <c r="F24" s="20"/>
      <c r="G24" s="20"/>
      <c r="H24" s="20"/>
      <c r="I24" s="20"/>
      <c r="J24" s="20"/>
      <c r="K24" s="11">
        <f t="shared" ref="K24:L24" si="27">G24-I24</f>
        <v>0</v>
      </c>
      <c r="L24" s="40">
        <f t="shared" si="27"/>
        <v>0</v>
      </c>
      <c r="M24" s="14" t="str">
        <f t="shared" si="3"/>
        <v>#DIV/0!</v>
      </c>
      <c r="N24" s="20"/>
    </row>
    <row r="25" ht="22.5" customHeight="1">
      <c r="A25" s="20"/>
      <c r="B25" s="20"/>
      <c r="C25" s="20"/>
      <c r="D25" s="52"/>
      <c r="E25" s="20"/>
      <c r="F25" s="20"/>
      <c r="G25" s="20"/>
      <c r="H25" s="20"/>
      <c r="I25" s="20"/>
      <c r="J25" s="20"/>
      <c r="K25" s="11">
        <f t="shared" ref="K25:L25" si="28">G25-I25</f>
        <v>0</v>
      </c>
      <c r="L25" s="40">
        <f t="shared" si="28"/>
        <v>0</v>
      </c>
      <c r="M25" s="14" t="str">
        <f t="shared" si="3"/>
        <v>#DIV/0!</v>
      </c>
      <c r="N25" s="20"/>
    </row>
    <row r="26" ht="22.5" customHeight="1">
      <c r="A26" s="20"/>
      <c r="B26" s="20"/>
      <c r="C26" s="20"/>
      <c r="D26" s="52"/>
      <c r="E26" s="20"/>
      <c r="F26" s="20"/>
      <c r="G26" s="20"/>
      <c r="H26" s="20"/>
      <c r="I26" s="20"/>
      <c r="J26" s="20"/>
      <c r="K26" s="11">
        <f t="shared" ref="K26:L26" si="29">G26-I26</f>
        <v>0</v>
      </c>
      <c r="L26" s="40">
        <f t="shared" si="29"/>
        <v>0</v>
      </c>
      <c r="M26" s="14" t="str">
        <f t="shared" si="3"/>
        <v>#DIV/0!</v>
      </c>
      <c r="N26" s="20"/>
    </row>
    <row r="27" ht="22.5" customHeight="1">
      <c r="A27" s="20"/>
      <c r="B27" s="20"/>
      <c r="C27" s="20"/>
      <c r="D27" s="52"/>
      <c r="E27" s="20"/>
      <c r="F27" s="20"/>
      <c r="G27" s="20"/>
      <c r="H27" s="20"/>
      <c r="I27" s="20"/>
      <c r="J27" s="20"/>
      <c r="K27" s="11">
        <f t="shared" ref="K27:L27" si="30">G27-I27</f>
        <v>0</v>
      </c>
      <c r="L27" s="40">
        <f t="shared" si="30"/>
        <v>0</v>
      </c>
      <c r="M27" s="14" t="str">
        <f t="shared" si="3"/>
        <v>#DIV/0!</v>
      </c>
      <c r="N27" s="20"/>
    </row>
    <row r="28" ht="22.5" customHeight="1">
      <c r="A28" s="20"/>
      <c r="B28" s="20"/>
      <c r="C28" s="20"/>
      <c r="D28" s="52"/>
      <c r="E28" s="20"/>
      <c r="F28" s="20"/>
      <c r="G28" s="20"/>
      <c r="H28" s="20"/>
      <c r="I28" s="20"/>
      <c r="J28" s="20"/>
      <c r="K28" s="11">
        <f t="shared" ref="K28:L28" si="31">G28-I28</f>
        <v>0</v>
      </c>
      <c r="L28" s="40">
        <f t="shared" si="31"/>
        <v>0</v>
      </c>
      <c r="M28" s="14" t="str">
        <f t="shared" si="3"/>
        <v>#DIV/0!</v>
      </c>
      <c r="N28" s="20"/>
    </row>
    <row r="29" ht="22.5" customHeight="1">
      <c r="A29" s="20"/>
      <c r="B29" s="20"/>
      <c r="C29" s="20"/>
      <c r="D29" s="52"/>
      <c r="E29" s="20"/>
      <c r="F29" s="20"/>
      <c r="G29" s="20"/>
      <c r="H29" s="20"/>
      <c r="I29" s="20"/>
      <c r="J29" s="20"/>
      <c r="K29" s="11">
        <f t="shared" ref="K29:L29" si="32">G29-I29</f>
        <v>0</v>
      </c>
      <c r="L29" s="40">
        <f t="shared" si="32"/>
        <v>0</v>
      </c>
      <c r="M29" s="14" t="str">
        <f t="shared" si="3"/>
        <v>#DIV/0!</v>
      </c>
      <c r="N29" s="20"/>
    </row>
    <row r="30" ht="22.5" customHeight="1">
      <c r="A30" s="20"/>
      <c r="B30" s="20"/>
      <c r="C30" s="20"/>
      <c r="D30" s="52"/>
      <c r="E30" s="20"/>
      <c r="F30" s="20"/>
      <c r="G30" s="20"/>
      <c r="H30" s="20"/>
      <c r="I30" s="20"/>
      <c r="J30" s="20"/>
      <c r="K30" s="11">
        <f t="shared" ref="K30:L30" si="33">G30-I30</f>
        <v>0</v>
      </c>
      <c r="L30" s="40">
        <f t="shared" si="33"/>
        <v>0</v>
      </c>
      <c r="M30" s="14" t="str">
        <f t="shared" si="3"/>
        <v>#DIV/0!</v>
      </c>
      <c r="N30" s="20"/>
    </row>
    <row r="31" ht="22.5" customHeight="1">
      <c r="A31" s="20"/>
      <c r="B31" s="20"/>
      <c r="C31" s="20"/>
      <c r="D31" s="52"/>
      <c r="E31" s="20"/>
      <c r="F31" s="20"/>
      <c r="G31" s="20"/>
      <c r="H31" s="20"/>
      <c r="I31" s="20"/>
      <c r="J31" s="20"/>
      <c r="K31" s="11">
        <f t="shared" ref="K31:L31" si="34">G31-I31</f>
        <v>0</v>
      </c>
      <c r="L31" s="40">
        <f t="shared" si="34"/>
        <v>0</v>
      </c>
      <c r="M31" s="14" t="str">
        <f t="shared" si="3"/>
        <v>#DIV/0!</v>
      </c>
      <c r="N31" s="20"/>
    </row>
    <row r="32" ht="22.5" customHeight="1">
      <c r="A32" s="20"/>
      <c r="B32" s="20"/>
      <c r="C32" s="20"/>
      <c r="D32" s="52"/>
      <c r="E32" s="20"/>
      <c r="F32" s="20"/>
      <c r="G32" s="20"/>
      <c r="H32" s="20"/>
      <c r="I32" s="20"/>
      <c r="J32" s="20"/>
      <c r="K32" s="11">
        <f t="shared" ref="K32:L32" si="35">G32-I32</f>
        <v>0</v>
      </c>
      <c r="L32" s="40">
        <f t="shared" si="35"/>
        <v>0</v>
      </c>
      <c r="M32" s="14" t="str">
        <f t="shared" si="3"/>
        <v>#DIV/0!</v>
      </c>
      <c r="N32" s="20"/>
    </row>
    <row r="33" ht="22.5" customHeight="1">
      <c r="A33" s="20"/>
      <c r="B33" s="20"/>
      <c r="C33" s="20"/>
      <c r="D33" s="52"/>
      <c r="E33" s="20"/>
      <c r="F33" s="20"/>
      <c r="G33" s="20"/>
      <c r="H33" s="20"/>
      <c r="I33" s="20"/>
      <c r="J33" s="20"/>
      <c r="K33" s="11">
        <f t="shared" ref="K33:L33" si="36">G33-I33</f>
        <v>0</v>
      </c>
      <c r="L33" s="40">
        <f t="shared" si="36"/>
        <v>0</v>
      </c>
      <c r="M33" s="14" t="str">
        <f t="shared" si="3"/>
        <v>#DIV/0!</v>
      </c>
      <c r="N33" s="20"/>
    </row>
    <row r="34" ht="22.5" customHeight="1">
      <c r="A34" s="20"/>
      <c r="B34" s="20"/>
      <c r="C34" s="20"/>
      <c r="D34" s="52"/>
      <c r="E34" s="20"/>
      <c r="F34" s="20"/>
      <c r="G34" s="20"/>
      <c r="H34" s="20"/>
      <c r="I34" s="20"/>
      <c r="J34" s="20"/>
      <c r="K34" s="11">
        <f t="shared" ref="K34:L34" si="37">G34-I34</f>
        <v>0</v>
      </c>
      <c r="L34" s="40">
        <f t="shared" si="37"/>
        <v>0</v>
      </c>
      <c r="M34" s="14" t="str">
        <f t="shared" si="3"/>
        <v>#DIV/0!</v>
      </c>
      <c r="N34" s="20"/>
    </row>
    <row r="35" ht="22.5" customHeight="1">
      <c r="A35" s="20"/>
      <c r="B35" s="20"/>
      <c r="C35" s="20"/>
      <c r="D35" s="52"/>
      <c r="E35" s="20"/>
      <c r="F35" s="20"/>
      <c r="G35" s="20"/>
      <c r="H35" s="20"/>
      <c r="I35" s="20"/>
      <c r="J35" s="20"/>
      <c r="K35" s="11">
        <f t="shared" ref="K35:L35" si="38">G35-I35</f>
        <v>0</v>
      </c>
      <c r="L35" s="40">
        <f t="shared" si="38"/>
        <v>0</v>
      </c>
      <c r="M35" s="14" t="str">
        <f t="shared" si="3"/>
        <v>#DIV/0!</v>
      </c>
      <c r="N35" s="20"/>
    </row>
    <row r="36" ht="22.5" customHeight="1">
      <c r="A36" s="20"/>
      <c r="B36" s="20"/>
      <c r="C36" s="20"/>
      <c r="D36" s="52"/>
      <c r="E36" s="20"/>
      <c r="F36" s="20"/>
      <c r="G36" s="20"/>
      <c r="H36" s="20"/>
      <c r="I36" s="20"/>
      <c r="J36" s="20"/>
      <c r="K36" s="11">
        <f t="shared" ref="K36:L36" si="39">G36-I36</f>
        <v>0</v>
      </c>
      <c r="L36" s="40">
        <f t="shared" si="39"/>
        <v>0</v>
      </c>
      <c r="M36" s="14" t="str">
        <f t="shared" si="3"/>
        <v>#DIV/0!</v>
      </c>
      <c r="N36" s="20"/>
    </row>
    <row r="37" ht="22.5" customHeight="1">
      <c r="A37" s="20"/>
      <c r="B37" s="20"/>
      <c r="C37" s="20"/>
      <c r="D37" s="52"/>
      <c r="E37" s="20"/>
      <c r="F37" s="20"/>
      <c r="G37" s="20"/>
      <c r="H37" s="20"/>
      <c r="I37" s="20"/>
      <c r="J37" s="20"/>
      <c r="K37" s="11">
        <f t="shared" ref="K37:L37" si="40">G37-I37</f>
        <v>0</v>
      </c>
      <c r="L37" s="40">
        <f t="shared" si="40"/>
        <v>0</v>
      </c>
      <c r="M37" s="14" t="str">
        <f t="shared" si="3"/>
        <v>#DIV/0!</v>
      </c>
      <c r="N37" s="20"/>
    </row>
    <row r="38" ht="22.5" customHeight="1">
      <c r="A38" s="20"/>
      <c r="B38" s="20"/>
      <c r="C38" s="20"/>
      <c r="D38" s="52"/>
      <c r="E38" s="20"/>
      <c r="F38" s="20"/>
      <c r="G38" s="20"/>
      <c r="H38" s="20"/>
      <c r="I38" s="20"/>
      <c r="J38" s="20"/>
      <c r="K38" s="11">
        <f t="shared" ref="K38:L38" si="41">G38-I38</f>
        <v>0</v>
      </c>
      <c r="L38" s="40">
        <f t="shared" si="41"/>
        <v>0</v>
      </c>
      <c r="M38" s="14" t="str">
        <f t="shared" si="3"/>
        <v>#DIV/0!</v>
      </c>
      <c r="N38" s="20"/>
    </row>
    <row r="39" ht="22.5" customHeight="1">
      <c r="A39" s="20"/>
      <c r="B39" s="20"/>
      <c r="C39" s="20"/>
      <c r="D39" s="52"/>
      <c r="E39" s="20"/>
      <c r="F39" s="20"/>
      <c r="G39" s="20"/>
      <c r="H39" s="20"/>
      <c r="I39" s="20"/>
      <c r="J39" s="20"/>
      <c r="K39" s="11">
        <f t="shared" ref="K39:L39" si="42">G39-I39</f>
        <v>0</v>
      </c>
      <c r="L39" s="40">
        <f t="shared" si="42"/>
        <v>0</v>
      </c>
      <c r="M39" s="14" t="str">
        <f t="shared" si="3"/>
        <v>#DIV/0!</v>
      </c>
      <c r="N39" s="20"/>
    </row>
    <row r="40" ht="22.5" customHeight="1">
      <c r="A40" s="20"/>
      <c r="B40" s="20"/>
      <c r="C40" s="20"/>
      <c r="D40" s="52"/>
      <c r="E40" s="20"/>
      <c r="F40" s="20"/>
      <c r="G40" s="20"/>
      <c r="H40" s="20"/>
      <c r="I40" s="20"/>
      <c r="J40" s="20"/>
      <c r="K40" s="20"/>
      <c r="L40" s="19"/>
      <c r="M40" s="47"/>
      <c r="N40" s="20"/>
    </row>
    <row r="41" ht="22.5" customHeight="1">
      <c r="A41" s="20"/>
      <c r="B41" s="20"/>
      <c r="C41" s="20"/>
      <c r="D41" s="52"/>
      <c r="E41" s="20"/>
      <c r="F41" s="20"/>
      <c r="G41" s="20"/>
      <c r="H41" s="20"/>
      <c r="I41" s="20"/>
      <c r="J41" s="20"/>
      <c r="K41" s="20"/>
      <c r="L41" s="19"/>
      <c r="M41" s="47"/>
      <c r="N41" s="20"/>
    </row>
    <row r="42" ht="22.5" customHeight="1">
      <c r="A42" s="20"/>
      <c r="B42" s="20"/>
      <c r="C42" s="20"/>
      <c r="D42" s="52"/>
      <c r="E42" s="20"/>
      <c r="F42" s="20"/>
      <c r="G42" s="20"/>
      <c r="H42" s="20"/>
      <c r="I42" s="20"/>
      <c r="J42" s="20"/>
      <c r="K42" s="20"/>
      <c r="L42" s="19"/>
      <c r="M42" s="47"/>
      <c r="N42" s="20"/>
    </row>
    <row r="43" ht="22.5" customHeight="1">
      <c r="A43" s="20"/>
      <c r="B43" s="20"/>
      <c r="C43" s="20"/>
      <c r="D43" s="52"/>
      <c r="E43" s="20"/>
      <c r="F43" s="20"/>
      <c r="G43" s="20"/>
      <c r="H43" s="20"/>
      <c r="I43" s="20"/>
      <c r="J43" s="20"/>
      <c r="K43" s="20"/>
      <c r="L43" s="19"/>
      <c r="M43" s="47"/>
      <c r="N43" s="20"/>
    </row>
    <row r="44" ht="22.5" customHeight="1">
      <c r="A44" s="20"/>
      <c r="B44" s="20"/>
      <c r="C44" s="20"/>
      <c r="D44" s="52"/>
      <c r="E44" s="20"/>
      <c r="F44" s="20"/>
      <c r="G44" s="20"/>
      <c r="H44" s="20"/>
      <c r="I44" s="20"/>
      <c r="J44" s="20"/>
      <c r="K44" s="20"/>
      <c r="L44" s="19"/>
      <c r="M44" s="47"/>
      <c r="N44" s="20"/>
    </row>
    <row r="45" ht="22.5" customHeight="1">
      <c r="A45" s="20"/>
      <c r="B45" s="20"/>
      <c r="C45" s="20"/>
      <c r="D45" s="52"/>
      <c r="E45" s="20"/>
      <c r="F45" s="20"/>
      <c r="G45" s="20"/>
      <c r="H45" s="20"/>
      <c r="I45" s="20"/>
      <c r="J45" s="20"/>
      <c r="K45" s="20"/>
      <c r="L45" s="19"/>
      <c r="M45" s="47"/>
      <c r="N45" s="20"/>
    </row>
    <row r="46" ht="22.5" customHeight="1">
      <c r="A46" s="20"/>
      <c r="B46" s="20"/>
      <c r="C46" s="20"/>
      <c r="D46" s="52"/>
      <c r="E46" s="20"/>
      <c r="F46" s="20"/>
      <c r="G46" s="20"/>
      <c r="H46" s="20"/>
      <c r="I46" s="20"/>
      <c r="J46" s="20"/>
      <c r="K46" s="20"/>
      <c r="L46" s="19"/>
      <c r="M46" s="47"/>
      <c r="N46" s="20"/>
    </row>
    <row r="47" ht="22.5" customHeight="1">
      <c r="A47" s="20"/>
      <c r="B47" s="20"/>
      <c r="C47" s="20"/>
      <c r="D47" s="52"/>
      <c r="E47" s="20"/>
      <c r="F47" s="20"/>
      <c r="G47" s="20"/>
      <c r="H47" s="20"/>
      <c r="I47" s="20"/>
      <c r="J47" s="20"/>
      <c r="K47" s="20"/>
      <c r="L47" s="19"/>
      <c r="M47" s="47"/>
      <c r="N47" s="20"/>
    </row>
    <row r="48" ht="22.5" customHeight="1">
      <c r="A48" s="20"/>
      <c r="B48" s="20"/>
      <c r="C48" s="20"/>
      <c r="D48" s="52"/>
      <c r="E48" s="20"/>
      <c r="F48" s="20"/>
      <c r="G48" s="20"/>
      <c r="H48" s="20"/>
      <c r="I48" s="20"/>
      <c r="J48" s="20"/>
      <c r="K48" s="20"/>
      <c r="L48" s="19"/>
      <c r="M48" s="47"/>
      <c r="N48" s="20"/>
    </row>
    <row r="49" ht="22.5" customHeight="1">
      <c r="A49" s="20"/>
      <c r="B49" s="20"/>
      <c r="C49" s="20"/>
      <c r="D49" s="52"/>
      <c r="E49" s="20"/>
      <c r="F49" s="20"/>
      <c r="G49" s="20"/>
      <c r="H49" s="20"/>
      <c r="I49" s="20"/>
      <c r="J49" s="20"/>
      <c r="K49" s="20"/>
      <c r="L49" s="19"/>
      <c r="M49" s="47"/>
      <c r="N49" s="20"/>
    </row>
    <row r="50" ht="22.5" customHeight="1">
      <c r="A50" s="20"/>
      <c r="B50" s="20"/>
      <c r="C50" s="20"/>
      <c r="D50" s="52"/>
      <c r="E50" s="20"/>
      <c r="F50" s="20"/>
      <c r="G50" s="20"/>
      <c r="H50" s="20"/>
      <c r="I50" s="20"/>
      <c r="J50" s="20"/>
      <c r="K50" s="20"/>
      <c r="L50" s="19"/>
      <c r="M50" s="47"/>
      <c r="N50" s="20"/>
    </row>
    <row r="51" ht="22.5" customHeight="1">
      <c r="A51" s="20"/>
      <c r="B51" s="20"/>
      <c r="C51" s="20"/>
      <c r="D51" s="52"/>
      <c r="E51" s="20"/>
      <c r="F51" s="20"/>
      <c r="G51" s="20"/>
      <c r="H51" s="20"/>
      <c r="I51" s="20"/>
      <c r="J51" s="20"/>
      <c r="K51" s="20"/>
      <c r="L51" s="19"/>
      <c r="M51" s="47"/>
      <c r="N51" s="20"/>
    </row>
    <row r="52" ht="22.5" customHeight="1">
      <c r="A52" s="20"/>
      <c r="B52" s="20"/>
      <c r="C52" s="20"/>
      <c r="D52" s="52"/>
      <c r="E52" s="20"/>
      <c r="F52" s="20"/>
      <c r="G52" s="20"/>
      <c r="H52" s="20"/>
      <c r="I52" s="20"/>
      <c r="J52" s="20"/>
      <c r="K52" s="20"/>
      <c r="L52" s="19"/>
      <c r="M52" s="47"/>
      <c r="N52" s="20"/>
    </row>
    <row r="53" ht="22.5" customHeight="1">
      <c r="A53" s="20"/>
      <c r="B53" s="20"/>
      <c r="C53" s="20"/>
      <c r="D53" s="52"/>
      <c r="E53" s="20"/>
      <c r="F53" s="20"/>
      <c r="G53" s="20"/>
      <c r="H53" s="20"/>
      <c r="I53" s="20"/>
      <c r="J53" s="20"/>
      <c r="K53" s="20"/>
      <c r="L53" s="19"/>
      <c r="M53" s="47"/>
      <c r="N53" s="20"/>
    </row>
    <row r="54" ht="22.5" customHeight="1">
      <c r="A54" s="20"/>
      <c r="B54" s="20"/>
      <c r="C54" s="20"/>
      <c r="D54" s="52"/>
      <c r="E54" s="20"/>
      <c r="F54" s="20"/>
      <c r="G54" s="20"/>
      <c r="H54" s="20"/>
      <c r="I54" s="20"/>
      <c r="J54" s="20"/>
      <c r="K54" s="20"/>
      <c r="L54" s="19"/>
      <c r="M54" s="47"/>
      <c r="N54" s="20"/>
    </row>
    <row r="55" ht="22.5" customHeight="1">
      <c r="A55" s="20"/>
      <c r="B55" s="20"/>
      <c r="C55" s="20"/>
      <c r="D55" s="52"/>
      <c r="E55" s="20"/>
      <c r="F55" s="20"/>
      <c r="G55" s="20"/>
      <c r="H55" s="20"/>
      <c r="I55" s="20"/>
      <c r="J55" s="20"/>
      <c r="K55" s="20"/>
      <c r="L55" s="19"/>
      <c r="M55" s="47"/>
      <c r="N55" s="20"/>
    </row>
    <row r="56" ht="22.5" customHeight="1">
      <c r="A56" s="20"/>
      <c r="B56" s="20"/>
      <c r="C56" s="20"/>
      <c r="D56" s="52"/>
      <c r="E56" s="20"/>
      <c r="F56" s="20"/>
      <c r="G56" s="20"/>
      <c r="H56" s="20"/>
      <c r="I56" s="20"/>
      <c r="J56" s="20"/>
      <c r="K56" s="20"/>
      <c r="L56" s="19"/>
      <c r="M56" s="47"/>
      <c r="N56" s="20"/>
    </row>
    <row r="57" ht="22.5" customHeight="1">
      <c r="A57" s="20"/>
      <c r="B57" s="20"/>
      <c r="C57" s="20"/>
      <c r="D57" s="52"/>
      <c r="E57" s="20"/>
      <c r="F57" s="20"/>
      <c r="G57" s="20"/>
      <c r="H57" s="20"/>
      <c r="I57" s="20"/>
      <c r="J57" s="20"/>
      <c r="K57" s="20"/>
      <c r="L57" s="19"/>
      <c r="M57" s="47"/>
      <c r="N57" s="20"/>
    </row>
    <row r="58" ht="22.5" customHeight="1">
      <c r="A58" s="20"/>
      <c r="B58" s="20"/>
      <c r="C58" s="20"/>
      <c r="D58" s="52"/>
      <c r="E58" s="20"/>
      <c r="F58" s="20"/>
      <c r="G58" s="20"/>
      <c r="H58" s="20"/>
      <c r="I58" s="20"/>
      <c r="J58" s="20"/>
      <c r="K58" s="20"/>
      <c r="L58" s="19"/>
      <c r="M58" s="47"/>
      <c r="N58" s="20"/>
    </row>
    <row r="59" ht="22.5" customHeight="1">
      <c r="A59" s="20"/>
      <c r="B59" s="20"/>
      <c r="C59" s="20"/>
      <c r="D59" s="52"/>
      <c r="E59" s="20"/>
      <c r="F59" s="20"/>
      <c r="G59" s="20"/>
      <c r="H59" s="20"/>
      <c r="I59" s="20"/>
      <c r="J59" s="20"/>
      <c r="K59" s="20"/>
      <c r="L59" s="19"/>
      <c r="M59" s="47"/>
      <c r="N59" s="20"/>
    </row>
    <row r="60" ht="22.5" customHeight="1">
      <c r="A60" s="20"/>
      <c r="B60" s="20"/>
      <c r="C60" s="20"/>
      <c r="D60" s="52"/>
      <c r="E60" s="20"/>
      <c r="F60" s="20"/>
      <c r="G60" s="20"/>
      <c r="H60" s="20"/>
      <c r="I60" s="20"/>
      <c r="J60" s="20"/>
      <c r="K60" s="20"/>
      <c r="L60" s="19"/>
      <c r="M60" s="47"/>
      <c r="N60" s="20"/>
    </row>
    <row r="61" ht="22.5" customHeight="1">
      <c r="A61" s="20"/>
      <c r="B61" s="20"/>
      <c r="C61" s="20"/>
      <c r="D61" s="52"/>
      <c r="E61" s="20"/>
      <c r="F61" s="20"/>
      <c r="G61" s="20"/>
      <c r="H61" s="20"/>
      <c r="I61" s="20"/>
      <c r="J61" s="20"/>
      <c r="K61" s="20"/>
      <c r="L61" s="19"/>
      <c r="M61" s="47"/>
      <c r="N61" s="20"/>
    </row>
    <row r="62" ht="22.5" customHeight="1">
      <c r="A62" s="20"/>
      <c r="B62" s="20"/>
      <c r="C62" s="20"/>
      <c r="D62" s="52"/>
      <c r="E62" s="20"/>
      <c r="F62" s="20"/>
      <c r="G62" s="20"/>
      <c r="H62" s="20"/>
      <c r="I62" s="20"/>
      <c r="J62" s="20"/>
      <c r="K62" s="20"/>
      <c r="L62" s="19"/>
      <c r="M62" s="47"/>
      <c r="N62" s="20"/>
    </row>
    <row r="63" ht="22.5" customHeight="1">
      <c r="A63" s="20"/>
      <c r="B63" s="20"/>
      <c r="C63" s="20"/>
      <c r="D63" s="52"/>
      <c r="E63" s="20"/>
      <c r="F63" s="20"/>
      <c r="G63" s="20"/>
      <c r="H63" s="20"/>
      <c r="I63" s="20"/>
      <c r="J63" s="20"/>
      <c r="K63" s="20"/>
      <c r="L63" s="19"/>
      <c r="M63" s="47"/>
      <c r="N63" s="20"/>
    </row>
    <row r="64" ht="22.5" customHeight="1">
      <c r="A64" s="20"/>
      <c r="B64" s="20"/>
      <c r="C64" s="20"/>
      <c r="D64" s="52"/>
      <c r="E64" s="20"/>
      <c r="F64" s="20"/>
      <c r="G64" s="20"/>
      <c r="H64" s="20"/>
      <c r="I64" s="20"/>
      <c r="J64" s="20"/>
      <c r="K64" s="20"/>
      <c r="L64" s="19"/>
      <c r="M64" s="47"/>
      <c r="N64" s="20"/>
    </row>
    <row r="65" ht="22.5" customHeight="1">
      <c r="A65" s="20"/>
      <c r="B65" s="20"/>
      <c r="C65" s="20"/>
      <c r="D65" s="52"/>
      <c r="E65" s="20"/>
      <c r="F65" s="20"/>
      <c r="G65" s="20"/>
      <c r="H65" s="20"/>
      <c r="I65" s="20"/>
      <c r="J65" s="20"/>
      <c r="K65" s="20"/>
      <c r="L65" s="19"/>
      <c r="M65" s="47"/>
      <c r="N65" s="20"/>
    </row>
    <row r="66" ht="22.5" customHeight="1">
      <c r="A66" s="20"/>
      <c r="B66" s="20"/>
      <c r="C66" s="20"/>
      <c r="D66" s="52"/>
      <c r="E66" s="20"/>
      <c r="F66" s="20"/>
      <c r="G66" s="20"/>
      <c r="H66" s="20"/>
      <c r="I66" s="20"/>
      <c r="J66" s="20"/>
      <c r="K66" s="20"/>
      <c r="L66" s="19"/>
      <c r="M66" s="47"/>
      <c r="N66" s="20"/>
    </row>
    <row r="67" ht="22.5" customHeight="1">
      <c r="A67" s="20"/>
      <c r="B67" s="20"/>
      <c r="C67" s="20"/>
      <c r="D67" s="52"/>
      <c r="E67" s="20"/>
      <c r="F67" s="20"/>
      <c r="G67" s="20"/>
      <c r="H67" s="20"/>
      <c r="I67" s="20"/>
      <c r="J67" s="20"/>
      <c r="K67" s="20"/>
      <c r="L67" s="19"/>
      <c r="M67" s="47"/>
      <c r="N67" s="20"/>
    </row>
    <row r="68" ht="22.5" customHeight="1">
      <c r="A68" s="20"/>
      <c r="B68" s="20"/>
      <c r="C68" s="20"/>
      <c r="D68" s="52"/>
      <c r="E68" s="20"/>
      <c r="F68" s="20"/>
      <c r="G68" s="20"/>
      <c r="H68" s="20"/>
      <c r="I68" s="20"/>
      <c r="J68" s="20"/>
      <c r="K68" s="20"/>
      <c r="L68" s="19"/>
      <c r="M68" s="47"/>
      <c r="N68" s="20"/>
    </row>
    <row r="69" ht="22.5" customHeight="1">
      <c r="A69" s="20"/>
      <c r="B69" s="20"/>
      <c r="C69" s="20"/>
      <c r="D69" s="52"/>
      <c r="E69" s="20"/>
      <c r="F69" s="20"/>
      <c r="G69" s="20"/>
      <c r="H69" s="20"/>
      <c r="I69" s="20"/>
      <c r="J69" s="20"/>
      <c r="K69" s="20"/>
      <c r="L69" s="19"/>
      <c r="M69" s="47"/>
      <c r="N69" s="20"/>
    </row>
    <row r="70" ht="22.5" customHeight="1">
      <c r="A70" s="20"/>
      <c r="B70" s="20"/>
      <c r="C70" s="20"/>
      <c r="D70" s="52"/>
      <c r="E70" s="20"/>
      <c r="F70" s="20"/>
      <c r="G70" s="20"/>
      <c r="H70" s="20"/>
      <c r="I70" s="20"/>
      <c r="J70" s="20"/>
      <c r="K70" s="20"/>
      <c r="L70" s="19"/>
      <c r="M70" s="47"/>
      <c r="N70" s="20"/>
    </row>
    <row r="71" ht="22.5" customHeight="1">
      <c r="A71" s="20"/>
      <c r="B71" s="20"/>
      <c r="C71" s="20"/>
      <c r="D71" s="52"/>
      <c r="E71" s="20"/>
      <c r="F71" s="20"/>
      <c r="G71" s="20"/>
      <c r="H71" s="20"/>
      <c r="I71" s="20"/>
      <c r="J71" s="20"/>
      <c r="K71" s="20"/>
      <c r="L71" s="19"/>
      <c r="M71" s="47"/>
      <c r="N71" s="20"/>
    </row>
    <row r="72" ht="22.5" customHeight="1">
      <c r="A72" s="20"/>
      <c r="B72" s="20"/>
      <c r="C72" s="20"/>
      <c r="D72" s="52"/>
      <c r="E72" s="20"/>
      <c r="F72" s="20"/>
      <c r="G72" s="20"/>
      <c r="H72" s="20"/>
      <c r="I72" s="20"/>
      <c r="J72" s="20"/>
      <c r="K72" s="20"/>
      <c r="L72" s="19"/>
      <c r="M72" s="47"/>
      <c r="N72" s="20"/>
    </row>
    <row r="73" ht="22.5" customHeight="1">
      <c r="A73" s="20"/>
      <c r="B73" s="20"/>
      <c r="C73" s="20"/>
      <c r="D73" s="52"/>
      <c r="E73" s="20"/>
      <c r="F73" s="20"/>
      <c r="G73" s="20"/>
      <c r="H73" s="20"/>
      <c r="I73" s="20"/>
      <c r="J73" s="20"/>
      <c r="K73" s="20"/>
      <c r="L73" s="19"/>
      <c r="M73" s="47"/>
      <c r="N73" s="20"/>
    </row>
    <row r="74" ht="22.5" customHeight="1">
      <c r="A74" s="20"/>
      <c r="B74" s="20"/>
      <c r="C74" s="20"/>
      <c r="D74" s="52"/>
      <c r="E74" s="20"/>
      <c r="F74" s="20"/>
      <c r="G74" s="20"/>
      <c r="H74" s="20"/>
      <c r="I74" s="20"/>
      <c r="J74" s="20"/>
      <c r="K74" s="20"/>
      <c r="L74" s="19"/>
      <c r="M74" s="47"/>
      <c r="N74" s="20"/>
    </row>
    <row r="75" ht="22.5" customHeight="1">
      <c r="A75" s="20"/>
      <c r="B75" s="20"/>
      <c r="C75" s="20"/>
      <c r="D75" s="52"/>
      <c r="E75" s="20"/>
      <c r="F75" s="20"/>
      <c r="G75" s="20"/>
      <c r="H75" s="20"/>
      <c r="I75" s="20"/>
      <c r="J75" s="20"/>
      <c r="K75" s="20"/>
      <c r="L75" s="19"/>
      <c r="M75" s="47"/>
      <c r="N75" s="20"/>
    </row>
    <row r="76" ht="22.5" customHeight="1">
      <c r="A76" s="20"/>
      <c r="B76" s="20"/>
      <c r="C76" s="20"/>
      <c r="D76" s="52"/>
      <c r="E76" s="20"/>
      <c r="F76" s="20"/>
      <c r="G76" s="20"/>
      <c r="H76" s="20"/>
      <c r="I76" s="20"/>
      <c r="J76" s="20"/>
      <c r="K76" s="20"/>
      <c r="L76" s="19"/>
      <c r="M76" s="47"/>
      <c r="N76" s="20"/>
    </row>
    <row r="77" ht="22.5" customHeight="1">
      <c r="A77" s="20"/>
      <c r="B77" s="20"/>
      <c r="C77" s="20"/>
      <c r="D77" s="52"/>
      <c r="E77" s="20"/>
      <c r="F77" s="20"/>
      <c r="G77" s="20"/>
      <c r="H77" s="20"/>
      <c r="I77" s="20"/>
      <c r="J77" s="20"/>
      <c r="K77" s="20"/>
      <c r="L77" s="19"/>
      <c r="M77" s="47"/>
      <c r="N77" s="20"/>
    </row>
    <row r="78" ht="22.5" customHeight="1">
      <c r="A78" s="20"/>
      <c r="B78" s="20"/>
      <c r="C78" s="20"/>
      <c r="D78" s="52"/>
      <c r="E78" s="20"/>
      <c r="F78" s="20"/>
      <c r="G78" s="20"/>
      <c r="H78" s="20"/>
      <c r="I78" s="20"/>
      <c r="J78" s="20"/>
      <c r="K78" s="20"/>
      <c r="L78" s="19"/>
      <c r="M78" s="47"/>
      <c r="N78" s="20"/>
    </row>
    <row r="79" ht="22.5" customHeight="1">
      <c r="A79" s="20"/>
      <c r="B79" s="20"/>
      <c r="C79" s="20"/>
      <c r="D79" s="52"/>
      <c r="E79" s="20"/>
      <c r="F79" s="20"/>
      <c r="G79" s="20"/>
      <c r="H79" s="20"/>
      <c r="I79" s="20"/>
      <c r="J79" s="20"/>
      <c r="K79" s="20"/>
      <c r="L79" s="19"/>
      <c r="M79" s="47"/>
      <c r="N79" s="20"/>
    </row>
    <row r="80" ht="22.5" customHeight="1">
      <c r="A80" s="20"/>
      <c r="B80" s="20"/>
      <c r="C80" s="20"/>
      <c r="D80" s="52"/>
      <c r="E80" s="20"/>
      <c r="F80" s="20"/>
      <c r="G80" s="20"/>
      <c r="H80" s="20"/>
      <c r="I80" s="20"/>
      <c r="J80" s="20"/>
      <c r="K80" s="20"/>
      <c r="L80" s="19"/>
      <c r="M80" s="47"/>
      <c r="N80" s="20"/>
    </row>
    <row r="81" ht="22.5" customHeight="1">
      <c r="A81" s="20"/>
      <c r="B81" s="20"/>
      <c r="C81" s="20"/>
      <c r="D81" s="52"/>
      <c r="E81" s="20"/>
      <c r="F81" s="20"/>
      <c r="G81" s="20"/>
      <c r="H81" s="20"/>
      <c r="I81" s="20"/>
      <c r="J81" s="20"/>
      <c r="K81" s="20"/>
      <c r="L81" s="19"/>
      <c r="M81" s="47"/>
      <c r="N81" s="20"/>
    </row>
    <row r="82" ht="22.5" customHeight="1">
      <c r="A82" s="20"/>
      <c r="B82" s="20"/>
      <c r="C82" s="20"/>
      <c r="D82" s="52"/>
      <c r="E82" s="20"/>
      <c r="F82" s="20"/>
      <c r="G82" s="20"/>
      <c r="H82" s="20"/>
      <c r="I82" s="20"/>
      <c r="J82" s="20"/>
      <c r="K82" s="20"/>
      <c r="L82" s="19"/>
      <c r="M82" s="47"/>
      <c r="N82" s="20"/>
    </row>
    <row r="83" ht="22.5" customHeight="1">
      <c r="A83" s="20"/>
      <c r="B83" s="20"/>
      <c r="C83" s="20"/>
      <c r="D83" s="52"/>
      <c r="E83" s="20"/>
      <c r="F83" s="20"/>
      <c r="G83" s="20"/>
      <c r="H83" s="20"/>
      <c r="I83" s="20"/>
      <c r="J83" s="20"/>
      <c r="K83" s="20"/>
      <c r="L83" s="19"/>
      <c r="M83" s="47"/>
      <c r="N83" s="20"/>
    </row>
    <row r="84" ht="22.5" customHeight="1">
      <c r="A84" s="20"/>
      <c r="B84" s="20"/>
      <c r="C84" s="20"/>
      <c r="D84" s="52"/>
      <c r="E84" s="20"/>
      <c r="F84" s="20"/>
      <c r="G84" s="20"/>
      <c r="H84" s="20"/>
      <c r="I84" s="20"/>
      <c r="J84" s="20"/>
      <c r="K84" s="20"/>
      <c r="L84" s="19"/>
      <c r="M84" s="47"/>
      <c r="N84" s="20"/>
    </row>
    <row r="85" ht="22.5" customHeight="1">
      <c r="A85" s="20"/>
      <c r="B85" s="20"/>
      <c r="C85" s="20"/>
      <c r="D85" s="52"/>
      <c r="E85" s="20"/>
      <c r="F85" s="20"/>
      <c r="G85" s="20"/>
      <c r="H85" s="20"/>
      <c r="I85" s="20"/>
      <c r="J85" s="20"/>
      <c r="K85" s="20"/>
      <c r="L85" s="19"/>
      <c r="M85" s="47"/>
      <c r="N85" s="20"/>
    </row>
    <row r="86" ht="22.5" customHeight="1">
      <c r="A86" s="20"/>
      <c r="B86" s="20"/>
      <c r="C86" s="20"/>
      <c r="D86" s="52"/>
      <c r="E86" s="20"/>
      <c r="F86" s="20"/>
      <c r="G86" s="20"/>
      <c r="H86" s="20"/>
      <c r="I86" s="20"/>
      <c r="J86" s="20"/>
      <c r="K86" s="20"/>
      <c r="L86" s="19"/>
      <c r="M86" s="47"/>
      <c r="N86" s="20"/>
    </row>
    <row r="87" ht="22.5" customHeight="1">
      <c r="A87" s="20"/>
      <c r="B87" s="20"/>
      <c r="C87" s="20"/>
      <c r="D87" s="52"/>
      <c r="E87" s="20"/>
      <c r="F87" s="20"/>
      <c r="G87" s="20"/>
      <c r="H87" s="20"/>
      <c r="I87" s="20"/>
      <c r="J87" s="20"/>
      <c r="K87" s="20"/>
      <c r="L87" s="19"/>
      <c r="M87" s="47"/>
      <c r="N87" s="20"/>
    </row>
    <row r="88" ht="22.5" customHeight="1">
      <c r="A88" s="20"/>
      <c r="B88" s="20"/>
      <c r="C88" s="20"/>
      <c r="D88" s="52"/>
      <c r="E88" s="20"/>
      <c r="F88" s="20"/>
      <c r="G88" s="20"/>
      <c r="H88" s="20"/>
      <c r="I88" s="20"/>
      <c r="J88" s="20"/>
      <c r="K88" s="20"/>
      <c r="L88" s="19"/>
      <c r="M88" s="47"/>
      <c r="N88" s="20"/>
    </row>
    <row r="89" ht="22.5" customHeight="1">
      <c r="A89" s="20"/>
      <c r="B89" s="20"/>
      <c r="C89" s="20"/>
      <c r="D89" s="52"/>
      <c r="E89" s="20"/>
      <c r="F89" s="20"/>
      <c r="G89" s="20"/>
      <c r="H89" s="20"/>
      <c r="I89" s="20"/>
      <c r="J89" s="20"/>
      <c r="K89" s="20"/>
      <c r="L89" s="19"/>
      <c r="M89" s="47"/>
      <c r="N89" s="20"/>
    </row>
    <row r="90" ht="22.5" customHeight="1">
      <c r="A90" s="20"/>
      <c r="B90" s="20"/>
      <c r="C90" s="20"/>
      <c r="D90" s="52"/>
      <c r="E90" s="20"/>
      <c r="F90" s="20"/>
      <c r="G90" s="20"/>
      <c r="H90" s="20"/>
      <c r="I90" s="20"/>
      <c r="J90" s="20"/>
      <c r="K90" s="20"/>
      <c r="L90" s="19"/>
      <c r="M90" s="47"/>
      <c r="N90" s="20"/>
    </row>
    <row r="91" ht="22.5" customHeight="1">
      <c r="A91" s="20"/>
      <c r="B91" s="20"/>
      <c r="C91" s="20"/>
      <c r="D91" s="52"/>
      <c r="E91" s="20"/>
      <c r="F91" s="20"/>
      <c r="G91" s="20"/>
      <c r="H91" s="20"/>
      <c r="I91" s="20"/>
      <c r="J91" s="20"/>
      <c r="K91" s="20"/>
      <c r="L91" s="19"/>
      <c r="M91" s="47"/>
      <c r="N91" s="20"/>
    </row>
    <row r="92" ht="22.5" customHeight="1">
      <c r="A92" s="20"/>
      <c r="B92" s="20"/>
      <c r="C92" s="20"/>
      <c r="D92" s="52"/>
      <c r="E92" s="20"/>
      <c r="F92" s="20"/>
      <c r="G92" s="20"/>
      <c r="H92" s="20"/>
      <c r="I92" s="20"/>
      <c r="J92" s="20"/>
      <c r="K92" s="20"/>
      <c r="L92" s="19"/>
      <c r="M92" s="47"/>
      <c r="N92" s="20"/>
    </row>
    <row r="93" ht="22.5" customHeight="1">
      <c r="A93" s="20"/>
      <c r="B93" s="20"/>
      <c r="C93" s="20"/>
      <c r="D93" s="52"/>
      <c r="E93" s="20"/>
      <c r="F93" s="20"/>
      <c r="G93" s="20"/>
      <c r="H93" s="20"/>
      <c r="I93" s="20"/>
      <c r="J93" s="20"/>
      <c r="K93" s="20"/>
      <c r="L93" s="19"/>
      <c r="M93" s="47"/>
      <c r="N93" s="20"/>
    </row>
    <row r="94" ht="22.5" customHeight="1">
      <c r="A94" s="20"/>
      <c r="B94" s="20"/>
      <c r="C94" s="20"/>
      <c r="D94" s="52"/>
      <c r="E94" s="20"/>
      <c r="F94" s="20"/>
      <c r="G94" s="20"/>
      <c r="H94" s="20"/>
      <c r="I94" s="20"/>
      <c r="J94" s="20"/>
      <c r="K94" s="20"/>
      <c r="L94" s="19"/>
      <c r="M94" s="47"/>
      <c r="N94" s="20"/>
    </row>
    <row r="95" ht="22.5" customHeight="1">
      <c r="A95" s="20"/>
      <c r="B95" s="20"/>
      <c r="C95" s="20"/>
      <c r="D95" s="52"/>
      <c r="E95" s="20"/>
      <c r="F95" s="20"/>
      <c r="G95" s="20"/>
      <c r="H95" s="20"/>
      <c r="I95" s="20"/>
      <c r="J95" s="20"/>
      <c r="K95" s="20"/>
      <c r="L95" s="19"/>
      <c r="M95" s="47"/>
      <c r="N95" s="20"/>
    </row>
    <row r="96" ht="22.5" customHeight="1">
      <c r="A96" s="20"/>
      <c r="B96" s="20"/>
      <c r="C96" s="20"/>
      <c r="D96" s="52"/>
      <c r="E96" s="20"/>
      <c r="F96" s="20"/>
      <c r="G96" s="20"/>
      <c r="H96" s="20"/>
      <c r="I96" s="20"/>
      <c r="J96" s="20"/>
      <c r="K96" s="20"/>
      <c r="L96" s="19"/>
      <c r="M96" s="47"/>
      <c r="N96" s="20"/>
    </row>
    <row r="97" ht="22.5" customHeight="1">
      <c r="A97" s="20"/>
      <c r="B97" s="20"/>
      <c r="C97" s="20"/>
      <c r="D97" s="52"/>
      <c r="E97" s="20"/>
      <c r="F97" s="20"/>
      <c r="G97" s="20"/>
      <c r="H97" s="20"/>
      <c r="I97" s="20"/>
      <c r="J97" s="20"/>
      <c r="K97" s="20"/>
      <c r="L97" s="19"/>
      <c r="M97" s="47"/>
      <c r="N97" s="20"/>
    </row>
    <row r="98" ht="22.5" customHeight="1">
      <c r="A98" s="20"/>
      <c r="B98" s="20"/>
      <c r="C98" s="20"/>
      <c r="D98" s="52"/>
      <c r="E98" s="20"/>
      <c r="F98" s="20"/>
      <c r="G98" s="20"/>
      <c r="H98" s="20"/>
      <c r="I98" s="20"/>
      <c r="J98" s="20"/>
      <c r="K98" s="20"/>
      <c r="L98" s="19"/>
      <c r="M98" s="47"/>
      <c r="N98" s="20"/>
    </row>
    <row r="99" ht="22.5" customHeight="1">
      <c r="A99" s="20"/>
      <c r="B99" s="20"/>
      <c r="C99" s="20"/>
      <c r="D99" s="52"/>
      <c r="E99" s="20"/>
      <c r="F99" s="20"/>
      <c r="G99" s="20"/>
      <c r="H99" s="20"/>
      <c r="I99" s="20"/>
      <c r="J99" s="20"/>
      <c r="K99" s="20"/>
      <c r="L99" s="19"/>
      <c r="M99" s="47"/>
      <c r="N99" s="20"/>
    </row>
    <row r="100" ht="22.5" customHeight="1">
      <c r="A100" s="20"/>
      <c r="B100" s="20"/>
      <c r="C100" s="20"/>
      <c r="D100" s="52"/>
      <c r="E100" s="20"/>
      <c r="F100" s="20"/>
      <c r="G100" s="20"/>
      <c r="H100" s="20"/>
      <c r="I100" s="20"/>
      <c r="J100" s="20"/>
      <c r="K100" s="20"/>
      <c r="L100" s="19"/>
      <c r="M100" s="47"/>
      <c r="N100" s="20"/>
    </row>
    <row r="101" ht="22.5" customHeight="1">
      <c r="A101" s="20"/>
      <c r="B101" s="20"/>
      <c r="C101" s="20"/>
      <c r="D101" s="52"/>
      <c r="E101" s="20"/>
      <c r="F101" s="20"/>
      <c r="G101" s="20"/>
      <c r="H101" s="20"/>
      <c r="I101" s="20"/>
      <c r="J101" s="20"/>
      <c r="K101" s="20"/>
      <c r="L101" s="19"/>
      <c r="M101" s="47"/>
      <c r="N101" s="20"/>
    </row>
    <row r="102" ht="22.5" customHeight="1">
      <c r="A102" s="20"/>
      <c r="B102" s="20"/>
      <c r="C102" s="20"/>
      <c r="D102" s="52"/>
      <c r="E102" s="20"/>
      <c r="F102" s="20"/>
      <c r="G102" s="20"/>
      <c r="H102" s="20"/>
      <c r="I102" s="20"/>
      <c r="J102" s="20"/>
      <c r="K102" s="20"/>
      <c r="L102" s="19"/>
      <c r="M102" s="47"/>
      <c r="N102" s="20"/>
    </row>
    <row r="103" ht="22.5" customHeight="1">
      <c r="A103" s="20"/>
      <c r="B103" s="20"/>
      <c r="C103" s="20"/>
      <c r="D103" s="52"/>
      <c r="E103" s="20"/>
      <c r="F103" s="20"/>
      <c r="G103" s="20"/>
      <c r="H103" s="20"/>
      <c r="I103" s="20"/>
      <c r="J103" s="20"/>
      <c r="K103" s="20"/>
      <c r="L103" s="19"/>
      <c r="M103" s="47"/>
      <c r="N103" s="20"/>
    </row>
    <row r="104" ht="22.5" customHeight="1">
      <c r="A104" s="20"/>
      <c r="B104" s="20"/>
      <c r="C104" s="20"/>
      <c r="D104" s="52"/>
      <c r="E104" s="20"/>
      <c r="F104" s="20"/>
      <c r="G104" s="20"/>
      <c r="H104" s="20"/>
      <c r="I104" s="20"/>
      <c r="J104" s="20"/>
      <c r="K104" s="20"/>
      <c r="L104" s="19"/>
      <c r="M104" s="47"/>
      <c r="N104" s="20"/>
    </row>
    <row r="105" ht="22.5" customHeight="1">
      <c r="A105" s="20"/>
      <c r="B105" s="20"/>
      <c r="C105" s="20"/>
      <c r="D105" s="52"/>
      <c r="E105" s="20"/>
      <c r="F105" s="20"/>
      <c r="G105" s="20"/>
      <c r="H105" s="20"/>
      <c r="I105" s="20"/>
      <c r="J105" s="20"/>
      <c r="K105" s="20"/>
      <c r="L105" s="19"/>
      <c r="M105" s="47"/>
      <c r="N105" s="20"/>
    </row>
    <row r="106" ht="22.5" customHeight="1">
      <c r="A106" s="20"/>
      <c r="B106" s="20"/>
      <c r="C106" s="20"/>
      <c r="D106" s="52"/>
      <c r="E106" s="20"/>
      <c r="F106" s="20"/>
      <c r="G106" s="20"/>
      <c r="H106" s="20"/>
      <c r="I106" s="20"/>
      <c r="J106" s="20"/>
      <c r="K106" s="20"/>
      <c r="L106" s="19"/>
      <c r="M106" s="47"/>
      <c r="N106" s="20"/>
    </row>
    <row r="107" ht="22.5" customHeight="1">
      <c r="A107" s="20"/>
      <c r="B107" s="20"/>
      <c r="C107" s="20"/>
      <c r="D107" s="52"/>
      <c r="E107" s="20"/>
      <c r="F107" s="20"/>
      <c r="G107" s="20"/>
      <c r="H107" s="20"/>
      <c r="I107" s="20"/>
      <c r="J107" s="20"/>
      <c r="K107" s="20"/>
      <c r="L107" s="19"/>
      <c r="M107" s="47"/>
      <c r="N107" s="20"/>
    </row>
    <row r="108" ht="22.5" customHeight="1">
      <c r="A108" s="20"/>
      <c r="B108" s="20"/>
      <c r="C108" s="20"/>
      <c r="D108" s="52"/>
      <c r="E108" s="20"/>
      <c r="F108" s="20"/>
      <c r="G108" s="20"/>
      <c r="H108" s="20"/>
      <c r="I108" s="20"/>
      <c r="J108" s="20"/>
      <c r="K108" s="20"/>
      <c r="L108" s="19"/>
      <c r="M108" s="47"/>
      <c r="N108" s="20"/>
    </row>
    <row r="109" ht="22.5" customHeight="1">
      <c r="A109" s="20"/>
      <c r="B109" s="20"/>
      <c r="C109" s="20"/>
      <c r="D109" s="52"/>
      <c r="E109" s="20"/>
      <c r="F109" s="20"/>
      <c r="G109" s="20"/>
      <c r="H109" s="20"/>
      <c r="I109" s="20"/>
      <c r="J109" s="20"/>
      <c r="K109" s="20"/>
      <c r="L109" s="19"/>
      <c r="M109" s="47"/>
      <c r="N109" s="20"/>
    </row>
    <row r="110" ht="22.5" customHeight="1">
      <c r="A110" s="20"/>
      <c r="B110" s="20"/>
      <c r="C110" s="20"/>
      <c r="D110" s="52"/>
      <c r="E110" s="20"/>
      <c r="F110" s="20"/>
      <c r="G110" s="20"/>
      <c r="H110" s="20"/>
      <c r="I110" s="20"/>
      <c r="J110" s="20"/>
      <c r="K110" s="20"/>
      <c r="L110" s="19"/>
      <c r="M110" s="47"/>
      <c r="N110" s="20"/>
    </row>
    <row r="111" ht="22.5" customHeight="1">
      <c r="A111" s="20"/>
      <c r="B111" s="20"/>
      <c r="C111" s="20"/>
      <c r="D111" s="52"/>
      <c r="E111" s="20"/>
      <c r="F111" s="20"/>
      <c r="G111" s="20"/>
      <c r="H111" s="20"/>
      <c r="I111" s="20"/>
      <c r="J111" s="20"/>
      <c r="K111" s="20"/>
      <c r="L111" s="19"/>
      <c r="M111" s="47"/>
      <c r="N111" s="20"/>
    </row>
    <row r="112" ht="22.5" customHeight="1">
      <c r="A112" s="20"/>
      <c r="B112" s="20"/>
      <c r="C112" s="20"/>
      <c r="D112" s="52"/>
      <c r="E112" s="20"/>
      <c r="F112" s="20"/>
      <c r="G112" s="20"/>
      <c r="H112" s="20"/>
      <c r="I112" s="20"/>
      <c r="J112" s="20"/>
      <c r="K112" s="20"/>
      <c r="L112" s="19"/>
      <c r="M112" s="47"/>
      <c r="N112" s="20"/>
    </row>
    <row r="113" ht="22.5" customHeight="1">
      <c r="A113" s="20"/>
      <c r="B113" s="20"/>
      <c r="C113" s="20"/>
      <c r="D113" s="52"/>
      <c r="E113" s="20"/>
      <c r="F113" s="20"/>
      <c r="G113" s="20"/>
      <c r="H113" s="20"/>
      <c r="I113" s="20"/>
      <c r="J113" s="20"/>
      <c r="K113" s="20"/>
      <c r="L113" s="19"/>
      <c r="M113" s="47"/>
      <c r="N113" s="20"/>
    </row>
    <row r="114" ht="22.5" customHeight="1">
      <c r="A114" s="20"/>
      <c r="B114" s="20"/>
      <c r="C114" s="20"/>
      <c r="D114" s="52"/>
      <c r="E114" s="20"/>
      <c r="F114" s="20"/>
      <c r="G114" s="20"/>
      <c r="H114" s="20"/>
      <c r="I114" s="20"/>
      <c r="J114" s="20"/>
      <c r="K114" s="20"/>
      <c r="L114" s="19"/>
      <c r="M114" s="47"/>
      <c r="N114" s="20"/>
    </row>
    <row r="115" ht="22.5" customHeight="1">
      <c r="A115" s="20"/>
      <c r="B115" s="20"/>
      <c r="C115" s="20"/>
      <c r="D115" s="52"/>
      <c r="E115" s="20"/>
      <c r="F115" s="20"/>
      <c r="G115" s="20"/>
      <c r="H115" s="20"/>
      <c r="I115" s="20"/>
      <c r="J115" s="20"/>
      <c r="K115" s="20"/>
      <c r="L115" s="19"/>
      <c r="M115" s="47"/>
      <c r="N115" s="20"/>
    </row>
    <row r="116" ht="22.5" customHeight="1">
      <c r="A116" s="20"/>
      <c r="B116" s="20"/>
      <c r="C116" s="20"/>
      <c r="D116" s="52"/>
      <c r="E116" s="20"/>
      <c r="F116" s="20"/>
      <c r="G116" s="20"/>
      <c r="H116" s="20"/>
      <c r="I116" s="20"/>
      <c r="J116" s="20"/>
      <c r="K116" s="20"/>
      <c r="L116" s="19"/>
      <c r="M116" s="47"/>
      <c r="N116" s="20"/>
    </row>
    <row r="117" ht="22.5" customHeight="1">
      <c r="A117" s="20"/>
      <c r="B117" s="20"/>
      <c r="C117" s="20"/>
      <c r="D117" s="52"/>
      <c r="E117" s="20"/>
      <c r="F117" s="20"/>
      <c r="G117" s="20"/>
      <c r="H117" s="20"/>
      <c r="I117" s="20"/>
      <c r="J117" s="20"/>
      <c r="K117" s="20"/>
      <c r="L117" s="19"/>
      <c r="M117" s="47"/>
      <c r="N117" s="20"/>
    </row>
    <row r="118" ht="22.5" customHeight="1">
      <c r="A118" s="20"/>
      <c r="B118" s="20"/>
      <c r="C118" s="20"/>
      <c r="D118" s="52"/>
      <c r="E118" s="20"/>
      <c r="F118" s="20"/>
      <c r="G118" s="20"/>
      <c r="H118" s="20"/>
      <c r="I118" s="20"/>
      <c r="J118" s="20"/>
      <c r="K118" s="20"/>
      <c r="L118" s="19"/>
      <c r="M118" s="47"/>
      <c r="N118" s="20"/>
    </row>
    <row r="119" ht="22.5" customHeight="1">
      <c r="A119" s="20"/>
      <c r="B119" s="20"/>
      <c r="C119" s="20"/>
      <c r="D119" s="52"/>
      <c r="E119" s="20"/>
      <c r="F119" s="20"/>
      <c r="G119" s="20"/>
      <c r="H119" s="20"/>
      <c r="I119" s="20"/>
      <c r="J119" s="20"/>
      <c r="K119" s="20"/>
      <c r="L119" s="19"/>
      <c r="M119" s="47"/>
      <c r="N119" s="20"/>
    </row>
    <row r="120" ht="22.5" customHeight="1">
      <c r="A120" s="20"/>
      <c r="B120" s="20"/>
      <c r="C120" s="20"/>
      <c r="D120" s="52"/>
      <c r="E120" s="20"/>
      <c r="F120" s="20"/>
      <c r="G120" s="20"/>
      <c r="H120" s="20"/>
      <c r="I120" s="20"/>
      <c r="J120" s="20"/>
      <c r="K120" s="20"/>
      <c r="L120" s="19"/>
      <c r="M120" s="47"/>
      <c r="N120" s="20"/>
    </row>
    <row r="121" ht="22.5" customHeight="1">
      <c r="A121" s="20"/>
      <c r="B121" s="20"/>
      <c r="C121" s="20"/>
      <c r="D121" s="52"/>
      <c r="E121" s="20"/>
      <c r="F121" s="20"/>
      <c r="G121" s="20"/>
      <c r="H121" s="20"/>
      <c r="I121" s="20"/>
      <c r="J121" s="20"/>
      <c r="K121" s="20"/>
      <c r="L121" s="19"/>
      <c r="M121" s="47"/>
      <c r="N121" s="20"/>
    </row>
    <row r="122" ht="22.5" customHeight="1">
      <c r="A122" s="20"/>
      <c r="B122" s="20"/>
      <c r="C122" s="20"/>
      <c r="D122" s="52"/>
      <c r="E122" s="20"/>
      <c r="F122" s="20"/>
      <c r="G122" s="20"/>
      <c r="H122" s="20"/>
      <c r="I122" s="20"/>
      <c r="J122" s="20"/>
      <c r="K122" s="20"/>
      <c r="L122" s="19"/>
      <c r="M122" s="47"/>
      <c r="N122" s="20"/>
    </row>
    <row r="123" ht="22.5" customHeight="1">
      <c r="A123" s="20"/>
      <c r="B123" s="20"/>
      <c r="C123" s="20"/>
      <c r="D123" s="52"/>
      <c r="E123" s="20"/>
      <c r="F123" s="20"/>
      <c r="G123" s="20"/>
      <c r="H123" s="20"/>
      <c r="I123" s="20"/>
      <c r="J123" s="20"/>
      <c r="K123" s="20"/>
      <c r="L123" s="19"/>
      <c r="M123" s="47"/>
      <c r="N123" s="20"/>
    </row>
    <row r="124" ht="22.5" customHeight="1">
      <c r="A124" s="20"/>
      <c r="B124" s="20"/>
      <c r="C124" s="20"/>
      <c r="D124" s="52"/>
      <c r="E124" s="20"/>
      <c r="F124" s="20"/>
      <c r="G124" s="20"/>
      <c r="H124" s="20"/>
      <c r="I124" s="20"/>
      <c r="J124" s="20"/>
      <c r="K124" s="20"/>
      <c r="L124" s="19"/>
      <c r="M124" s="47"/>
      <c r="N124" s="20"/>
    </row>
    <row r="125" ht="22.5" customHeight="1">
      <c r="A125" s="20"/>
      <c r="B125" s="20"/>
      <c r="C125" s="20"/>
      <c r="D125" s="52"/>
      <c r="E125" s="20"/>
      <c r="F125" s="20"/>
      <c r="G125" s="20"/>
      <c r="H125" s="20"/>
      <c r="I125" s="20"/>
      <c r="J125" s="20"/>
      <c r="K125" s="20"/>
      <c r="L125" s="19"/>
      <c r="M125" s="47"/>
      <c r="N125" s="20"/>
    </row>
    <row r="126" ht="22.5" customHeight="1">
      <c r="A126" s="20"/>
      <c r="B126" s="20"/>
      <c r="C126" s="20"/>
      <c r="D126" s="52"/>
      <c r="E126" s="20"/>
      <c r="F126" s="20"/>
      <c r="G126" s="20"/>
      <c r="H126" s="20"/>
      <c r="I126" s="20"/>
      <c r="J126" s="20"/>
      <c r="K126" s="20"/>
      <c r="L126" s="19"/>
      <c r="M126" s="47"/>
      <c r="N126" s="20"/>
    </row>
    <row r="127" ht="22.5" customHeight="1">
      <c r="A127" s="20"/>
      <c r="B127" s="20"/>
      <c r="C127" s="20"/>
      <c r="D127" s="52"/>
      <c r="E127" s="20"/>
      <c r="F127" s="20"/>
      <c r="G127" s="20"/>
      <c r="H127" s="20"/>
      <c r="I127" s="20"/>
      <c r="J127" s="20"/>
      <c r="K127" s="20"/>
      <c r="L127" s="19"/>
      <c r="M127" s="47"/>
      <c r="N127" s="20"/>
    </row>
    <row r="128" ht="22.5" customHeight="1">
      <c r="A128" s="20"/>
      <c r="B128" s="20"/>
      <c r="C128" s="20"/>
      <c r="D128" s="52"/>
      <c r="E128" s="20"/>
      <c r="F128" s="20"/>
      <c r="G128" s="20"/>
      <c r="H128" s="20"/>
      <c r="I128" s="20"/>
      <c r="J128" s="20"/>
      <c r="K128" s="20"/>
      <c r="L128" s="19"/>
      <c r="M128" s="47"/>
      <c r="N128" s="20"/>
    </row>
    <row r="129" ht="22.5" customHeight="1">
      <c r="A129" s="20"/>
      <c r="B129" s="20"/>
      <c r="C129" s="20"/>
      <c r="D129" s="52"/>
      <c r="E129" s="20"/>
      <c r="F129" s="20"/>
      <c r="G129" s="20"/>
      <c r="H129" s="20"/>
      <c r="I129" s="20"/>
      <c r="J129" s="20"/>
      <c r="K129" s="20"/>
      <c r="L129" s="19"/>
      <c r="M129" s="47"/>
      <c r="N129" s="20"/>
    </row>
    <row r="130" ht="22.5" customHeight="1">
      <c r="A130" s="20"/>
      <c r="B130" s="20"/>
      <c r="C130" s="20"/>
      <c r="D130" s="52"/>
      <c r="E130" s="20"/>
      <c r="F130" s="20"/>
      <c r="G130" s="20"/>
      <c r="H130" s="20"/>
      <c r="I130" s="20"/>
      <c r="J130" s="20"/>
      <c r="K130" s="20"/>
      <c r="L130" s="19"/>
      <c r="M130" s="47"/>
      <c r="N130" s="20"/>
    </row>
    <row r="131" ht="22.5" customHeight="1">
      <c r="A131" s="20"/>
      <c r="B131" s="20"/>
      <c r="C131" s="20"/>
      <c r="D131" s="52"/>
      <c r="E131" s="20"/>
      <c r="F131" s="20"/>
      <c r="G131" s="20"/>
      <c r="H131" s="20"/>
      <c r="I131" s="20"/>
      <c r="J131" s="20"/>
      <c r="K131" s="20"/>
      <c r="L131" s="19"/>
      <c r="M131" s="47"/>
      <c r="N131" s="20"/>
    </row>
    <row r="132" ht="22.5" customHeight="1">
      <c r="A132" s="20"/>
      <c r="B132" s="20"/>
      <c r="C132" s="20"/>
      <c r="D132" s="52"/>
      <c r="E132" s="20"/>
      <c r="F132" s="20"/>
      <c r="G132" s="20"/>
      <c r="H132" s="20"/>
      <c r="I132" s="20"/>
      <c r="J132" s="20"/>
      <c r="K132" s="20"/>
      <c r="L132" s="19"/>
      <c r="M132" s="47"/>
      <c r="N132" s="20"/>
    </row>
    <row r="133" ht="22.5" customHeight="1">
      <c r="A133" s="20"/>
      <c r="B133" s="20"/>
      <c r="C133" s="20"/>
      <c r="D133" s="52"/>
      <c r="E133" s="20"/>
      <c r="F133" s="20"/>
      <c r="G133" s="20"/>
      <c r="H133" s="20"/>
      <c r="I133" s="20"/>
      <c r="J133" s="20"/>
      <c r="K133" s="20"/>
      <c r="L133" s="19"/>
      <c r="M133" s="47"/>
      <c r="N133" s="20"/>
    </row>
    <row r="134" ht="22.5" customHeight="1">
      <c r="A134" s="20"/>
      <c r="B134" s="20"/>
      <c r="C134" s="20"/>
      <c r="D134" s="52"/>
      <c r="E134" s="20"/>
      <c r="F134" s="20"/>
      <c r="G134" s="20"/>
      <c r="H134" s="20"/>
      <c r="I134" s="20"/>
      <c r="J134" s="20"/>
      <c r="K134" s="20"/>
      <c r="L134" s="19"/>
      <c r="M134" s="47"/>
      <c r="N134" s="20"/>
    </row>
    <row r="135" ht="22.5" customHeight="1">
      <c r="A135" s="20"/>
      <c r="B135" s="20"/>
      <c r="C135" s="20"/>
      <c r="D135" s="52"/>
      <c r="E135" s="20"/>
      <c r="F135" s="20"/>
      <c r="G135" s="20"/>
      <c r="H135" s="20"/>
      <c r="I135" s="20"/>
      <c r="J135" s="20"/>
      <c r="K135" s="20"/>
      <c r="L135" s="19"/>
      <c r="M135" s="47"/>
      <c r="N135" s="20"/>
    </row>
    <row r="136" ht="22.5" customHeight="1">
      <c r="A136" s="20"/>
      <c r="B136" s="20"/>
      <c r="C136" s="20"/>
      <c r="D136" s="52"/>
      <c r="E136" s="20"/>
      <c r="F136" s="20"/>
      <c r="G136" s="20"/>
      <c r="H136" s="20"/>
      <c r="I136" s="20"/>
      <c r="J136" s="20"/>
      <c r="K136" s="20"/>
      <c r="L136" s="19"/>
      <c r="M136" s="47"/>
      <c r="N136" s="20"/>
    </row>
    <row r="137" ht="22.5" customHeight="1">
      <c r="A137" s="20"/>
      <c r="B137" s="20"/>
      <c r="C137" s="20"/>
      <c r="D137" s="52"/>
      <c r="E137" s="20"/>
      <c r="F137" s="20"/>
      <c r="G137" s="20"/>
      <c r="H137" s="20"/>
      <c r="I137" s="20"/>
      <c r="J137" s="20"/>
      <c r="K137" s="20"/>
      <c r="L137" s="19"/>
      <c r="M137" s="47"/>
      <c r="N137" s="20"/>
    </row>
    <row r="138" ht="22.5" customHeight="1">
      <c r="A138" s="20"/>
      <c r="B138" s="20"/>
      <c r="C138" s="20"/>
      <c r="D138" s="52"/>
      <c r="E138" s="20"/>
      <c r="F138" s="20"/>
      <c r="G138" s="20"/>
      <c r="H138" s="20"/>
      <c r="I138" s="20"/>
      <c r="J138" s="20"/>
      <c r="K138" s="20"/>
      <c r="L138" s="19"/>
      <c r="M138" s="47"/>
      <c r="N138" s="20"/>
    </row>
    <row r="139" ht="22.5" customHeight="1">
      <c r="A139" s="20"/>
      <c r="B139" s="20"/>
      <c r="C139" s="20"/>
      <c r="D139" s="52"/>
      <c r="E139" s="20"/>
      <c r="F139" s="20"/>
      <c r="G139" s="20"/>
      <c r="H139" s="20"/>
      <c r="I139" s="20"/>
      <c r="J139" s="20"/>
      <c r="K139" s="20"/>
      <c r="L139" s="19"/>
      <c r="M139" s="47"/>
      <c r="N139" s="20"/>
    </row>
    <row r="140" ht="22.5" customHeight="1">
      <c r="A140" s="20"/>
      <c r="B140" s="20"/>
      <c r="C140" s="20"/>
      <c r="D140" s="52"/>
      <c r="E140" s="20"/>
      <c r="F140" s="20"/>
      <c r="G140" s="20"/>
      <c r="H140" s="20"/>
      <c r="I140" s="20"/>
      <c r="J140" s="20"/>
      <c r="K140" s="20"/>
      <c r="L140" s="19"/>
      <c r="M140" s="47"/>
      <c r="N140" s="20"/>
    </row>
    <row r="141" ht="22.5" customHeight="1">
      <c r="A141" s="20"/>
      <c r="B141" s="20"/>
      <c r="C141" s="20"/>
      <c r="D141" s="52"/>
      <c r="E141" s="20"/>
      <c r="F141" s="20"/>
      <c r="G141" s="20"/>
      <c r="H141" s="20"/>
      <c r="I141" s="20"/>
      <c r="J141" s="20"/>
      <c r="K141" s="20"/>
      <c r="L141" s="19"/>
      <c r="M141" s="47"/>
      <c r="N141" s="20"/>
    </row>
    <row r="142" ht="22.5" customHeight="1">
      <c r="A142" s="20"/>
      <c r="B142" s="20"/>
      <c r="C142" s="20"/>
      <c r="D142" s="52"/>
      <c r="E142" s="20"/>
      <c r="F142" s="20"/>
      <c r="G142" s="20"/>
      <c r="H142" s="20"/>
      <c r="I142" s="20"/>
      <c r="J142" s="20"/>
      <c r="K142" s="20"/>
      <c r="L142" s="19"/>
      <c r="M142" s="47"/>
      <c r="N142" s="20"/>
    </row>
    <row r="143" ht="22.5" customHeight="1">
      <c r="A143" s="20"/>
      <c r="B143" s="20"/>
      <c r="C143" s="20"/>
      <c r="D143" s="52"/>
      <c r="E143" s="20"/>
      <c r="F143" s="20"/>
      <c r="G143" s="20"/>
      <c r="H143" s="20"/>
      <c r="I143" s="20"/>
      <c r="J143" s="20"/>
      <c r="K143" s="20"/>
      <c r="L143" s="19"/>
      <c r="M143" s="47"/>
      <c r="N143" s="20"/>
    </row>
    <row r="144" ht="22.5" customHeight="1">
      <c r="A144" s="20"/>
      <c r="B144" s="20"/>
      <c r="C144" s="20"/>
      <c r="D144" s="52"/>
      <c r="E144" s="20"/>
      <c r="F144" s="20"/>
      <c r="G144" s="20"/>
      <c r="H144" s="20"/>
      <c r="I144" s="20"/>
      <c r="J144" s="20"/>
      <c r="K144" s="20"/>
      <c r="L144" s="19"/>
      <c r="M144" s="47"/>
      <c r="N144" s="20"/>
    </row>
    <row r="145" ht="22.5" customHeight="1">
      <c r="A145" s="20"/>
      <c r="B145" s="20"/>
      <c r="C145" s="20"/>
      <c r="D145" s="52"/>
      <c r="E145" s="20"/>
      <c r="F145" s="20"/>
      <c r="G145" s="20"/>
      <c r="H145" s="20"/>
      <c r="I145" s="20"/>
      <c r="J145" s="20"/>
      <c r="K145" s="20"/>
      <c r="L145" s="19"/>
      <c r="M145" s="47"/>
      <c r="N145" s="20"/>
    </row>
    <row r="146" ht="22.5" customHeight="1">
      <c r="A146" s="20"/>
      <c r="B146" s="20"/>
      <c r="C146" s="20"/>
      <c r="D146" s="52"/>
      <c r="E146" s="20"/>
      <c r="F146" s="20"/>
      <c r="G146" s="20"/>
      <c r="H146" s="20"/>
      <c r="I146" s="20"/>
      <c r="J146" s="20"/>
      <c r="K146" s="20"/>
      <c r="L146" s="19"/>
      <c r="M146" s="47"/>
      <c r="N146" s="20"/>
    </row>
    <row r="147" ht="22.5" customHeight="1">
      <c r="A147" s="20"/>
      <c r="B147" s="20"/>
      <c r="C147" s="20"/>
      <c r="D147" s="52"/>
      <c r="E147" s="20"/>
      <c r="F147" s="20"/>
      <c r="G147" s="20"/>
      <c r="H147" s="20"/>
      <c r="I147" s="20"/>
      <c r="J147" s="20"/>
      <c r="K147" s="20"/>
      <c r="L147" s="19"/>
      <c r="M147" s="47"/>
      <c r="N147" s="20"/>
    </row>
    <row r="148" ht="22.5" customHeight="1">
      <c r="A148" s="20"/>
      <c r="B148" s="20"/>
      <c r="C148" s="20"/>
      <c r="D148" s="52"/>
      <c r="E148" s="20"/>
      <c r="F148" s="20"/>
      <c r="G148" s="20"/>
      <c r="H148" s="20"/>
      <c r="I148" s="20"/>
      <c r="J148" s="20"/>
      <c r="K148" s="20"/>
      <c r="L148" s="19"/>
      <c r="M148" s="47"/>
      <c r="N148" s="20"/>
    </row>
    <row r="149" ht="22.5" customHeight="1">
      <c r="A149" s="20"/>
      <c r="B149" s="20"/>
      <c r="C149" s="20"/>
      <c r="D149" s="52"/>
      <c r="E149" s="20"/>
      <c r="F149" s="20"/>
      <c r="G149" s="20"/>
      <c r="H149" s="20"/>
      <c r="I149" s="20"/>
      <c r="J149" s="20"/>
      <c r="K149" s="20"/>
      <c r="L149" s="19"/>
      <c r="M149" s="47"/>
      <c r="N149" s="20"/>
    </row>
    <row r="150" ht="22.5" customHeight="1">
      <c r="A150" s="20"/>
      <c r="B150" s="20"/>
      <c r="C150" s="20"/>
      <c r="D150" s="52"/>
      <c r="E150" s="20"/>
      <c r="F150" s="20"/>
      <c r="G150" s="20"/>
      <c r="H150" s="20"/>
      <c r="I150" s="20"/>
      <c r="J150" s="20"/>
      <c r="K150" s="20"/>
      <c r="L150" s="19"/>
      <c r="M150" s="47"/>
      <c r="N150" s="20"/>
    </row>
    <row r="151" ht="22.5" customHeight="1">
      <c r="A151" s="20"/>
      <c r="B151" s="20"/>
      <c r="C151" s="20"/>
      <c r="D151" s="52"/>
      <c r="E151" s="20"/>
      <c r="F151" s="20"/>
      <c r="G151" s="20"/>
      <c r="H151" s="20"/>
      <c r="I151" s="20"/>
      <c r="J151" s="20"/>
      <c r="K151" s="20"/>
      <c r="L151" s="19"/>
      <c r="M151" s="47"/>
      <c r="N151" s="20"/>
    </row>
    <row r="152" ht="22.5" customHeight="1">
      <c r="A152" s="20"/>
      <c r="B152" s="20"/>
      <c r="C152" s="20"/>
      <c r="D152" s="52"/>
      <c r="E152" s="20"/>
      <c r="F152" s="20"/>
      <c r="G152" s="20"/>
      <c r="H152" s="20"/>
      <c r="I152" s="20"/>
      <c r="J152" s="20"/>
      <c r="K152" s="20"/>
      <c r="L152" s="19"/>
      <c r="M152" s="47"/>
      <c r="N152" s="20"/>
    </row>
    <row r="153" ht="22.5" customHeight="1">
      <c r="A153" s="20"/>
      <c r="B153" s="20"/>
      <c r="C153" s="20"/>
      <c r="D153" s="52"/>
      <c r="E153" s="20"/>
      <c r="F153" s="20"/>
      <c r="G153" s="20"/>
      <c r="H153" s="20"/>
      <c r="I153" s="20"/>
      <c r="J153" s="20"/>
      <c r="K153" s="20"/>
      <c r="L153" s="19"/>
      <c r="M153" s="47"/>
      <c r="N153" s="20"/>
    </row>
    <row r="154" ht="22.5" customHeight="1">
      <c r="A154" s="20"/>
      <c r="B154" s="20"/>
      <c r="C154" s="20"/>
      <c r="D154" s="52"/>
      <c r="E154" s="20"/>
      <c r="F154" s="20"/>
      <c r="G154" s="20"/>
      <c r="H154" s="20"/>
      <c r="I154" s="20"/>
      <c r="J154" s="20"/>
      <c r="K154" s="20"/>
      <c r="L154" s="19"/>
      <c r="M154" s="47"/>
      <c r="N154" s="20"/>
    </row>
    <row r="155" ht="22.5" customHeight="1">
      <c r="A155" s="20"/>
      <c r="B155" s="20"/>
      <c r="C155" s="20"/>
      <c r="D155" s="52"/>
      <c r="E155" s="20"/>
      <c r="F155" s="20"/>
      <c r="G155" s="20"/>
      <c r="H155" s="20"/>
      <c r="I155" s="20"/>
      <c r="J155" s="20"/>
      <c r="K155" s="20"/>
      <c r="L155" s="19"/>
      <c r="M155" s="47"/>
      <c r="N155" s="20"/>
    </row>
    <row r="156" ht="22.5" customHeight="1">
      <c r="A156" s="20"/>
      <c r="B156" s="20"/>
      <c r="C156" s="20"/>
      <c r="D156" s="52"/>
      <c r="E156" s="20"/>
      <c r="F156" s="20"/>
      <c r="G156" s="20"/>
      <c r="H156" s="20"/>
      <c r="I156" s="20"/>
      <c r="J156" s="20"/>
      <c r="K156" s="20"/>
      <c r="L156" s="19"/>
      <c r="M156" s="47"/>
      <c r="N156" s="20"/>
    </row>
    <row r="157" ht="22.5" customHeight="1">
      <c r="A157" s="20"/>
      <c r="B157" s="20"/>
      <c r="C157" s="20"/>
      <c r="D157" s="52"/>
      <c r="E157" s="20"/>
      <c r="F157" s="20"/>
      <c r="G157" s="20"/>
      <c r="H157" s="20"/>
      <c r="I157" s="20"/>
      <c r="J157" s="20"/>
      <c r="K157" s="20"/>
      <c r="L157" s="19"/>
      <c r="M157" s="47"/>
      <c r="N157" s="20"/>
    </row>
    <row r="158" ht="22.5" customHeight="1">
      <c r="A158" s="20"/>
      <c r="B158" s="20"/>
      <c r="C158" s="20"/>
      <c r="D158" s="52"/>
      <c r="E158" s="20"/>
      <c r="F158" s="20"/>
      <c r="G158" s="20"/>
      <c r="H158" s="20"/>
      <c r="I158" s="20"/>
      <c r="J158" s="20"/>
      <c r="K158" s="20"/>
      <c r="L158" s="19"/>
      <c r="M158" s="47"/>
      <c r="N158" s="20"/>
    </row>
    <row r="159" ht="22.5" customHeight="1">
      <c r="A159" s="20"/>
      <c r="B159" s="20"/>
      <c r="C159" s="20"/>
      <c r="D159" s="52"/>
      <c r="E159" s="20"/>
      <c r="F159" s="20"/>
      <c r="G159" s="20"/>
      <c r="H159" s="20"/>
      <c r="I159" s="20"/>
      <c r="J159" s="20"/>
      <c r="K159" s="20"/>
      <c r="L159" s="19"/>
      <c r="M159" s="47"/>
      <c r="N159" s="20"/>
    </row>
    <row r="160" ht="22.5" customHeight="1">
      <c r="A160" s="20"/>
      <c r="B160" s="20"/>
      <c r="C160" s="20"/>
      <c r="D160" s="52"/>
      <c r="E160" s="20"/>
      <c r="F160" s="20"/>
      <c r="G160" s="20"/>
      <c r="H160" s="20"/>
      <c r="I160" s="20"/>
      <c r="J160" s="20"/>
      <c r="K160" s="20"/>
      <c r="L160" s="19"/>
      <c r="M160" s="47"/>
      <c r="N160" s="20"/>
    </row>
    <row r="161" ht="22.5" customHeight="1">
      <c r="A161" s="20"/>
      <c r="B161" s="20"/>
      <c r="C161" s="20"/>
      <c r="D161" s="52"/>
      <c r="E161" s="20"/>
      <c r="F161" s="20"/>
      <c r="G161" s="20"/>
      <c r="H161" s="20"/>
      <c r="I161" s="20"/>
      <c r="J161" s="20"/>
      <c r="K161" s="20"/>
      <c r="L161" s="19"/>
      <c r="M161" s="47"/>
      <c r="N161" s="20"/>
    </row>
    <row r="162" ht="22.5" customHeight="1">
      <c r="A162" s="20"/>
      <c r="B162" s="20"/>
      <c r="C162" s="20"/>
      <c r="D162" s="52"/>
      <c r="E162" s="20"/>
      <c r="F162" s="20"/>
      <c r="G162" s="20"/>
      <c r="H162" s="20"/>
      <c r="I162" s="20"/>
      <c r="J162" s="20"/>
      <c r="K162" s="20"/>
      <c r="L162" s="19"/>
      <c r="M162" s="47"/>
      <c r="N162" s="20"/>
    </row>
    <row r="163" ht="22.5" customHeight="1">
      <c r="A163" s="20"/>
      <c r="B163" s="20"/>
      <c r="C163" s="20"/>
      <c r="D163" s="52"/>
      <c r="E163" s="20"/>
      <c r="F163" s="20"/>
      <c r="G163" s="20"/>
      <c r="H163" s="20"/>
      <c r="I163" s="20"/>
      <c r="J163" s="20"/>
      <c r="K163" s="20"/>
      <c r="L163" s="19"/>
      <c r="M163" s="47"/>
      <c r="N163" s="20"/>
    </row>
    <row r="164" ht="22.5" customHeight="1">
      <c r="A164" s="20"/>
      <c r="B164" s="20"/>
      <c r="C164" s="20"/>
      <c r="D164" s="52"/>
      <c r="E164" s="20"/>
      <c r="F164" s="20"/>
      <c r="G164" s="20"/>
      <c r="H164" s="20"/>
      <c r="I164" s="20"/>
      <c r="J164" s="20"/>
      <c r="K164" s="20"/>
      <c r="L164" s="19"/>
      <c r="M164" s="47"/>
      <c r="N164" s="20"/>
    </row>
    <row r="165" ht="22.5" customHeight="1">
      <c r="A165" s="20"/>
      <c r="B165" s="20"/>
      <c r="C165" s="20"/>
      <c r="D165" s="52"/>
      <c r="E165" s="20"/>
      <c r="F165" s="20"/>
      <c r="G165" s="20"/>
      <c r="H165" s="20"/>
      <c r="I165" s="20"/>
      <c r="J165" s="20"/>
      <c r="K165" s="20"/>
      <c r="L165" s="19"/>
      <c r="M165" s="47"/>
      <c r="N165" s="20"/>
    </row>
    <row r="166" ht="22.5" customHeight="1">
      <c r="A166" s="20"/>
      <c r="B166" s="20"/>
      <c r="C166" s="20"/>
      <c r="D166" s="52"/>
      <c r="E166" s="20"/>
      <c r="F166" s="20"/>
      <c r="G166" s="20"/>
      <c r="H166" s="20"/>
      <c r="I166" s="20"/>
      <c r="J166" s="20"/>
      <c r="K166" s="20"/>
      <c r="L166" s="19"/>
      <c r="M166" s="47"/>
      <c r="N166" s="20"/>
    </row>
    <row r="167" ht="22.5" customHeight="1">
      <c r="A167" s="20"/>
      <c r="B167" s="20"/>
      <c r="C167" s="20"/>
      <c r="D167" s="52"/>
      <c r="E167" s="20"/>
      <c r="F167" s="20"/>
      <c r="G167" s="20"/>
      <c r="H167" s="20"/>
      <c r="I167" s="20"/>
      <c r="J167" s="20"/>
      <c r="K167" s="20"/>
      <c r="L167" s="19"/>
      <c r="M167" s="47"/>
      <c r="N167" s="20"/>
    </row>
    <row r="168" ht="22.5" customHeight="1">
      <c r="A168" s="20"/>
      <c r="B168" s="20"/>
      <c r="C168" s="20"/>
      <c r="D168" s="52"/>
      <c r="E168" s="20"/>
      <c r="F168" s="20"/>
      <c r="G168" s="20"/>
      <c r="H168" s="20"/>
      <c r="I168" s="20"/>
      <c r="J168" s="20"/>
      <c r="K168" s="20"/>
      <c r="L168" s="19"/>
      <c r="M168" s="47"/>
      <c r="N168" s="20"/>
    </row>
    <row r="169" ht="22.5" customHeight="1">
      <c r="A169" s="20"/>
      <c r="B169" s="20"/>
      <c r="C169" s="20"/>
      <c r="D169" s="52"/>
      <c r="E169" s="20"/>
      <c r="F169" s="20"/>
      <c r="G169" s="20"/>
      <c r="H169" s="20"/>
      <c r="I169" s="20"/>
      <c r="J169" s="20"/>
      <c r="K169" s="20"/>
      <c r="L169" s="19"/>
      <c r="M169" s="47"/>
      <c r="N169" s="20"/>
    </row>
    <row r="170" ht="22.5" customHeight="1">
      <c r="A170" s="20"/>
      <c r="B170" s="20"/>
      <c r="C170" s="20"/>
      <c r="D170" s="52"/>
      <c r="E170" s="20"/>
      <c r="F170" s="20"/>
      <c r="G170" s="20"/>
      <c r="H170" s="20"/>
      <c r="I170" s="20"/>
      <c r="J170" s="20"/>
      <c r="K170" s="20"/>
      <c r="L170" s="19"/>
      <c r="M170" s="47"/>
      <c r="N170" s="20"/>
    </row>
    <row r="171" ht="22.5" customHeight="1">
      <c r="A171" s="20"/>
      <c r="B171" s="20"/>
      <c r="C171" s="20"/>
      <c r="D171" s="52"/>
      <c r="E171" s="20"/>
      <c r="F171" s="20"/>
      <c r="G171" s="20"/>
      <c r="H171" s="20"/>
      <c r="I171" s="20"/>
      <c r="J171" s="20"/>
      <c r="K171" s="20"/>
      <c r="L171" s="19"/>
      <c r="M171" s="47"/>
      <c r="N171" s="20"/>
    </row>
    <row r="172" ht="22.5" customHeight="1">
      <c r="A172" s="20"/>
      <c r="B172" s="20"/>
      <c r="C172" s="20"/>
      <c r="D172" s="52"/>
      <c r="E172" s="20"/>
      <c r="F172" s="20"/>
      <c r="G172" s="20"/>
      <c r="H172" s="20"/>
      <c r="I172" s="20"/>
      <c r="J172" s="20"/>
      <c r="K172" s="20"/>
      <c r="L172" s="19"/>
      <c r="M172" s="47"/>
      <c r="N172" s="20"/>
    </row>
    <row r="173" ht="22.5" customHeight="1">
      <c r="A173" s="20"/>
      <c r="B173" s="20"/>
      <c r="C173" s="20"/>
      <c r="D173" s="52"/>
      <c r="E173" s="20"/>
      <c r="F173" s="20"/>
      <c r="G173" s="20"/>
      <c r="H173" s="20"/>
      <c r="I173" s="20"/>
      <c r="J173" s="20"/>
      <c r="K173" s="20"/>
      <c r="L173" s="19"/>
      <c r="M173" s="47"/>
      <c r="N173" s="20"/>
    </row>
    <row r="174" ht="22.5" customHeight="1">
      <c r="A174" s="20"/>
      <c r="B174" s="20"/>
      <c r="C174" s="20"/>
      <c r="D174" s="52"/>
      <c r="E174" s="20"/>
      <c r="F174" s="20"/>
      <c r="G174" s="20"/>
      <c r="H174" s="20"/>
      <c r="I174" s="20"/>
      <c r="J174" s="20"/>
      <c r="K174" s="20"/>
      <c r="L174" s="19"/>
      <c r="M174" s="47"/>
      <c r="N174" s="20"/>
    </row>
    <row r="175" ht="22.5" customHeight="1">
      <c r="A175" s="20"/>
      <c r="B175" s="20"/>
      <c r="C175" s="20"/>
      <c r="D175" s="52"/>
      <c r="E175" s="20"/>
      <c r="F175" s="20"/>
      <c r="G175" s="20"/>
      <c r="H175" s="20"/>
      <c r="I175" s="20"/>
      <c r="J175" s="20"/>
      <c r="K175" s="20"/>
      <c r="L175" s="19"/>
      <c r="M175" s="47"/>
      <c r="N175" s="20"/>
    </row>
    <row r="176" ht="22.5" customHeight="1">
      <c r="A176" s="20"/>
      <c r="B176" s="20"/>
      <c r="C176" s="20"/>
      <c r="D176" s="52"/>
      <c r="E176" s="20"/>
      <c r="F176" s="20"/>
      <c r="G176" s="20"/>
      <c r="H176" s="20"/>
      <c r="I176" s="20"/>
      <c r="J176" s="20"/>
      <c r="K176" s="20"/>
      <c r="L176" s="19"/>
      <c r="M176" s="47"/>
      <c r="N176" s="20"/>
    </row>
    <row r="177" ht="22.5" customHeight="1">
      <c r="A177" s="20"/>
      <c r="B177" s="20"/>
      <c r="C177" s="20"/>
      <c r="D177" s="52"/>
      <c r="E177" s="20"/>
      <c r="F177" s="20"/>
      <c r="G177" s="20"/>
      <c r="H177" s="20"/>
      <c r="I177" s="20"/>
      <c r="J177" s="20"/>
      <c r="K177" s="20"/>
      <c r="L177" s="19"/>
      <c r="M177" s="47"/>
      <c r="N177" s="20"/>
    </row>
    <row r="178" ht="22.5" customHeight="1">
      <c r="A178" s="20"/>
      <c r="B178" s="20"/>
      <c r="C178" s="20"/>
      <c r="D178" s="52"/>
      <c r="E178" s="20"/>
      <c r="F178" s="20"/>
      <c r="G178" s="20"/>
      <c r="H178" s="20"/>
      <c r="I178" s="20"/>
      <c r="J178" s="20"/>
      <c r="K178" s="20"/>
      <c r="L178" s="19"/>
      <c r="M178" s="47"/>
      <c r="N178" s="20"/>
    </row>
    <row r="179" ht="22.5" customHeight="1">
      <c r="A179" s="20"/>
      <c r="B179" s="20"/>
      <c r="C179" s="20"/>
      <c r="D179" s="52"/>
      <c r="E179" s="20"/>
      <c r="F179" s="20"/>
      <c r="G179" s="20"/>
      <c r="H179" s="20"/>
      <c r="I179" s="20"/>
      <c r="J179" s="20"/>
      <c r="K179" s="20"/>
      <c r="L179" s="19"/>
      <c r="M179" s="47"/>
      <c r="N179" s="20"/>
    </row>
    <row r="180" ht="22.5" customHeight="1">
      <c r="A180" s="20"/>
      <c r="B180" s="20"/>
      <c r="C180" s="20"/>
      <c r="D180" s="52"/>
      <c r="E180" s="20"/>
      <c r="F180" s="20"/>
      <c r="G180" s="20"/>
      <c r="H180" s="20"/>
      <c r="I180" s="20"/>
      <c r="J180" s="20"/>
      <c r="K180" s="20"/>
      <c r="L180" s="19"/>
      <c r="M180" s="47"/>
      <c r="N180" s="20"/>
    </row>
    <row r="181" ht="22.5" customHeight="1">
      <c r="A181" s="20"/>
      <c r="B181" s="20"/>
      <c r="C181" s="20"/>
      <c r="D181" s="52"/>
      <c r="E181" s="20"/>
      <c r="F181" s="20"/>
      <c r="G181" s="20"/>
      <c r="H181" s="20"/>
      <c r="I181" s="20"/>
      <c r="J181" s="20"/>
      <c r="K181" s="20"/>
      <c r="L181" s="19"/>
      <c r="M181" s="47"/>
      <c r="N181" s="20"/>
    </row>
    <row r="182" ht="22.5" customHeight="1">
      <c r="A182" s="20"/>
      <c r="B182" s="20"/>
      <c r="C182" s="20"/>
      <c r="D182" s="52"/>
      <c r="E182" s="20"/>
      <c r="F182" s="20"/>
      <c r="G182" s="20"/>
      <c r="H182" s="20"/>
      <c r="I182" s="20"/>
      <c r="J182" s="20"/>
      <c r="K182" s="20"/>
      <c r="L182" s="19"/>
      <c r="M182" s="47"/>
      <c r="N182" s="20"/>
    </row>
    <row r="183" ht="22.5" customHeight="1">
      <c r="A183" s="20"/>
      <c r="B183" s="20"/>
      <c r="C183" s="20"/>
      <c r="D183" s="52"/>
      <c r="E183" s="20"/>
      <c r="F183" s="20"/>
      <c r="G183" s="20"/>
      <c r="H183" s="20"/>
      <c r="I183" s="20"/>
      <c r="J183" s="20"/>
      <c r="K183" s="20"/>
      <c r="L183" s="19"/>
      <c r="M183" s="47"/>
      <c r="N183" s="20"/>
    </row>
    <row r="184" ht="22.5" customHeight="1">
      <c r="A184" s="20"/>
      <c r="B184" s="20"/>
      <c r="C184" s="20"/>
      <c r="D184" s="52"/>
      <c r="E184" s="20"/>
      <c r="F184" s="20"/>
      <c r="G184" s="20"/>
      <c r="H184" s="20"/>
      <c r="I184" s="20"/>
      <c r="J184" s="20"/>
      <c r="K184" s="20"/>
      <c r="L184" s="19"/>
      <c r="M184" s="47"/>
      <c r="N184" s="20"/>
    </row>
    <row r="185" ht="22.5" customHeight="1">
      <c r="A185" s="20"/>
      <c r="B185" s="20"/>
      <c r="C185" s="20"/>
      <c r="D185" s="52"/>
      <c r="E185" s="20"/>
      <c r="F185" s="20"/>
      <c r="G185" s="20"/>
      <c r="H185" s="20"/>
      <c r="I185" s="20"/>
      <c r="J185" s="20"/>
      <c r="K185" s="20"/>
      <c r="L185" s="19"/>
      <c r="M185" s="47"/>
      <c r="N185" s="20"/>
    </row>
    <row r="186" ht="22.5" customHeight="1">
      <c r="A186" s="20"/>
      <c r="B186" s="20"/>
      <c r="C186" s="20"/>
      <c r="D186" s="52"/>
      <c r="E186" s="20"/>
      <c r="F186" s="20"/>
      <c r="G186" s="20"/>
      <c r="H186" s="20"/>
      <c r="I186" s="20"/>
      <c r="J186" s="20"/>
      <c r="K186" s="20"/>
      <c r="L186" s="19"/>
      <c r="M186" s="47"/>
      <c r="N186" s="20"/>
    </row>
    <row r="187" ht="22.5" customHeight="1">
      <c r="A187" s="20"/>
      <c r="B187" s="20"/>
      <c r="C187" s="20"/>
      <c r="D187" s="52"/>
      <c r="E187" s="20"/>
      <c r="F187" s="20"/>
      <c r="G187" s="20"/>
      <c r="H187" s="20"/>
      <c r="I187" s="20"/>
      <c r="J187" s="20"/>
      <c r="K187" s="20"/>
      <c r="L187" s="19"/>
      <c r="M187" s="47"/>
      <c r="N187" s="20"/>
    </row>
    <row r="188" ht="22.5" customHeight="1">
      <c r="A188" s="20"/>
      <c r="B188" s="20"/>
      <c r="C188" s="20"/>
      <c r="D188" s="52"/>
      <c r="E188" s="20"/>
      <c r="F188" s="20"/>
      <c r="G188" s="20"/>
      <c r="H188" s="20"/>
      <c r="I188" s="20"/>
      <c r="J188" s="20"/>
      <c r="K188" s="20"/>
      <c r="L188" s="19"/>
      <c r="M188" s="47"/>
      <c r="N188" s="20"/>
    </row>
    <row r="189" ht="22.5" customHeight="1">
      <c r="A189" s="20"/>
      <c r="B189" s="20"/>
      <c r="C189" s="20"/>
      <c r="D189" s="52"/>
      <c r="E189" s="20"/>
      <c r="F189" s="20"/>
      <c r="G189" s="20"/>
      <c r="H189" s="20"/>
      <c r="I189" s="20"/>
      <c r="J189" s="20"/>
      <c r="K189" s="20"/>
      <c r="L189" s="19"/>
      <c r="M189" s="47"/>
      <c r="N189" s="20"/>
    </row>
    <row r="190" ht="22.5" customHeight="1">
      <c r="A190" s="20"/>
      <c r="B190" s="20"/>
      <c r="C190" s="20"/>
      <c r="D190" s="52"/>
      <c r="E190" s="20"/>
      <c r="F190" s="20"/>
      <c r="G190" s="20"/>
      <c r="H190" s="20"/>
      <c r="I190" s="20"/>
      <c r="J190" s="20"/>
      <c r="K190" s="20"/>
      <c r="L190" s="19"/>
      <c r="M190" s="47"/>
      <c r="N190" s="20"/>
    </row>
    <row r="191" ht="22.5" customHeight="1">
      <c r="A191" s="20"/>
      <c r="B191" s="20"/>
      <c r="C191" s="20"/>
      <c r="D191" s="52"/>
      <c r="E191" s="20"/>
      <c r="F191" s="20"/>
      <c r="G191" s="20"/>
      <c r="H191" s="20"/>
      <c r="I191" s="20"/>
      <c r="J191" s="20"/>
      <c r="K191" s="20"/>
      <c r="L191" s="19"/>
      <c r="M191" s="47"/>
      <c r="N191" s="20"/>
    </row>
    <row r="192" ht="22.5" customHeight="1">
      <c r="A192" s="20"/>
      <c r="B192" s="20"/>
      <c r="C192" s="20"/>
      <c r="D192" s="52"/>
      <c r="E192" s="20"/>
      <c r="F192" s="20"/>
      <c r="G192" s="20"/>
      <c r="H192" s="20"/>
      <c r="I192" s="20"/>
      <c r="J192" s="20"/>
      <c r="K192" s="20"/>
      <c r="L192" s="19"/>
      <c r="M192" s="47"/>
      <c r="N192" s="20"/>
    </row>
    <row r="193" ht="22.5" customHeight="1">
      <c r="A193" s="20"/>
      <c r="B193" s="20"/>
      <c r="C193" s="20"/>
      <c r="D193" s="52"/>
      <c r="E193" s="20"/>
      <c r="F193" s="20"/>
      <c r="G193" s="20"/>
      <c r="H193" s="20"/>
      <c r="I193" s="20"/>
      <c r="J193" s="20"/>
      <c r="K193" s="20"/>
      <c r="L193" s="19"/>
      <c r="M193" s="47"/>
      <c r="N193" s="20"/>
    </row>
    <row r="194" ht="22.5" customHeight="1">
      <c r="A194" s="20"/>
      <c r="B194" s="20"/>
      <c r="C194" s="20"/>
      <c r="D194" s="52"/>
      <c r="E194" s="20"/>
      <c r="F194" s="20"/>
      <c r="G194" s="20"/>
      <c r="H194" s="20"/>
      <c r="I194" s="20"/>
      <c r="J194" s="20"/>
      <c r="K194" s="20"/>
      <c r="L194" s="19"/>
      <c r="M194" s="47"/>
      <c r="N194" s="20"/>
    </row>
    <row r="195" ht="22.5" customHeight="1">
      <c r="A195" s="20"/>
      <c r="B195" s="20"/>
      <c r="C195" s="20"/>
      <c r="D195" s="52"/>
      <c r="E195" s="20"/>
      <c r="F195" s="20"/>
      <c r="G195" s="20"/>
      <c r="H195" s="20"/>
      <c r="I195" s="20"/>
      <c r="J195" s="20"/>
      <c r="K195" s="20"/>
      <c r="L195" s="19"/>
      <c r="M195" s="47"/>
      <c r="N195" s="20"/>
    </row>
    <row r="196" ht="22.5" customHeight="1">
      <c r="A196" s="20"/>
      <c r="B196" s="20"/>
      <c r="C196" s="20"/>
      <c r="D196" s="52"/>
      <c r="E196" s="20"/>
      <c r="F196" s="20"/>
      <c r="G196" s="20"/>
      <c r="H196" s="20"/>
      <c r="I196" s="20"/>
      <c r="J196" s="20"/>
      <c r="K196" s="20"/>
      <c r="L196" s="19"/>
      <c r="M196" s="47"/>
      <c r="N196" s="20"/>
    </row>
    <row r="197" ht="22.5" customHeight="1">
      <c r="A197" s="20"/>
      <c r="B197" s="20"/>
      <c r="C197" s="20"/>
      <c r="D197" s="52"/>
      <c r="E197" s="20"/>
      <c r="F197" s="20"/>
      <c r="G197" s="20"/>
      <c r="H197" s="20"/>
      <c r="I197" s="20"/>
      <c r="J197" s="20"/>
      <c r="K197" s="20"/>
      <c r="L197" s="19"/>
      <c r="M197" s="47"/>
      <c r="N197" s="20"/>
    </row>
    <row r="198" ht="22.5" customHeight="1">
      <c r="A198" s="20"/>
      <c r="B198" s="20"/>
      <c r="C198" s="20"/>
      <c r="D198" s="52"/>
      <c r="E198" s="20"/>
      <c r="F198" s="20"/>
      <c r="G198" s="20"/>
      <c r="H198" s="20"/>
      <c r="I198" s="20"/>
      <c r="J198" s="20"/>
      <c r="K198" s="20"/>
      <c r="L198" s="19"/>
      <c r="M198" s="47"/>
      <c r="N198" s="20"/>
    </row>
    <row r="199" ht="22.5" customHeight="1">
      <c r="A199" s="20"/>
      <c r="B199" s="20"/>
      <c r="C199" s="20"/>
      <c r="D199" s="52"/>
      <c r="E199" s="20"/>
      <c r="F199" s="20"/>
      <c r="G199" s="20"/>
      <c r="H199" s="20"/>
      <c r="I199" s="20"/>
      <c r="J199" s="20"/>
      <c r="K199" s="20"/>
      <c r="L199" s="19"/>
      <c r="M199" s="47"/>
      <c r="N199" s="20"/>
    </row>
    <row r="200" ht="22.5" customHeight="1">
      <c r="A200" s="20"/>
      <c r="B200" s="20"/>
      <c r="C200" s="20"/>
      <c r="D200" s="52"/>
      <c r="E200" s="20"/>
      <c r="F200" s="20"/>
      <c r="G200" s="20"/>
      <c r="H200" s="20"/>
      <c r="I200" s="20"/>
      <c r="J200" s="20"/>
      <c r="K200" s="20"/>
      <c r="L200" s="19"/>
      <c r="M200" s="47"/>
      <c r="N200" s="20"/>
    </row>
    <row r="201" ht="22.5" customHeight="1">
      <c r="A201" s="20"/>
      <c r="B201" s="20"/>
      <c r="C201" s="20"/>
      <c r="D201" s="52"/>
      <c r="E201" s="20"/>
      <c r="F201" s="20"/>
      <c r="G201" s="20"/>
      <c r="H201" s="20"/>
      <c r="I201" s="20"/>
      <c r="J201" s="20"/>
      <c r="K201" s="20"/>
      <c r="L201" s="19"/>
      <c r="M201" s="47"/>
      <c r="N201" s="20"/>
    </row>
    <row r="202" ht="22.5" customHeight="1">
      <c r="A202" s="20"/>
      <c r="B202" s="20"/>
      <c r="C202" s="20"/>
      <c r="D202" s="52"/>
      <c r="E202" s="20"/>
      <c r="F202" s="20"/>
      <c r="G202" s="20"/>
      <c r="H202" s="20"/>
      <c r="I202" s="20"/>
      <c r="J202" s="20"/>
      <c r="K202" s="20"/>
      <c r="L202" s="19"/>
      <c r="M202" s="47"/>
      <c r="N202" s="20"/>
    </row>
    <row r="203" ht="22.5" customHeight="1">
      <c r="A203" s="20"/>
      <c r="B203" s="20"/>
      <c r="C203" s="20"/>
      <c r="D203" s="52"/>
      <c r="E203" s="20"/>
      <c r="F203" s="20"/>
      <c r="G203" s="20"/>
      <c r="H203" s="20"/>
      <c r="I203" s="20"/>
      <c r="J203" s="20"/>
      <c r="K203" s="20"/>
      <c r="L203" s="19"/>
      <c r="M203" s="47"/>
      <c r="N203" s="20"/>
    </row>
    <row r="204" ht="22.5" customHeight="1">
      <c r="A204" s="20"/>
      <c r="B204" s="20"/>
      <c r="C204" s="20"/>
      <c r="D204" s="52"/>
      <c r="E204" s="20"/>
      <c r="F204" s="20"/>
      <c r="G204" s="20"/>
      <c r="H204" s="20"/>
      <c r="I204" s="20"/>
      <c r="J204" s="20"/>
      <c r="K204" s="20"/>
      <c r="L204" s="19"/>
      <c r="M204" s="47"/>
      <c r="N204" s="20"/>
    </row>
    <row r="205" ht="22.5" customHeight="1">
      <c r="A205" s="20"/>
      <c r="B205" s="20"/>
      <c r="C205" s="20"/>
      <c r="D205" s="52"/>
      <c r="E205" s="20"/>
      <c r="F205" s="20"/>
      <c r="G205" s="20"/>
      <c r="H205" s="20"/>
      <c r="I205" s="20"/>
      <c r="J205" s="20"/>
      <c r="K205" s="20"/>
      <c r="L205" s="19"/>
      <c r="M205" s="47"/>
      <c r="N205" s="20"/>
    </row>
    <row r="206" ht="22.5" customHeight="1">
      <c r="A206" s="20"/>
      <c r="B206" s="20"/>
      <c r="C206" s="20"/>
      <c r="D206" s="52"/>
      <c r="E206" s="20"/>
      <c r="F206" s="20"/>
      <c r="G206" s="20"/>
      <c r="H206" s="20"/>
      <c r="I206" s="20"/>
      <c r="J206" s="20"/>
      <c r="K206" s="20"/>
      <c r="L206" s="19"/>
      <c r="M206" s="47"/>
      <c r="N206" s="20"/>
    </row>
    <row r="207" ht="22.5" customHeight="1">
      <c r="A207" s="20"/>
      <c r="B207" s="20"/>
      <c r="C207" s="20"/>
      <c r="D207" s="52"/>
      <c r="E207" s="20"/>
      <c r="F207" s="20"/>
      <c r="G207" s="20"/>
      <c r="H207" s="20"/>
      <c r="I207" s="20"/>
      <c r="J207" s="20"/>
      <c r="K207" s="20"/>
      <c r="L207" s="19"/>
      <c r="M207" s="47"/>
      <c r="N207" s="20"/>
    </row>
    <row r="208" ht="22.5" customHeight="1">
      <c r="A208" s="20"/>
      <c r="B208" s="20"/>
      <c r="C208" s="20"/>
      <c r="D208" s="52"/>
      <c r="E208" s="20"/>
      <c r="F208" s="20"/>
      <c r="G208" s="20"/>
      <c r="H208" s="20"/>
      <c r="I208" s="20"/>
      <c r="J208" s="20"/>
      <c r="K208" s="20"/>
      <c r="L208" s="19"/>
      <c r="M208" s="47"/>
      <c r="N208" s="20"/>
    </row>
    <row r="209" ht="22.5" customHeight="1">
      <c r="A209" s="20"/>
      <c r="B209" s="20"/>
      <c r="C209" s="20"/>
      <c r="D209" s="52"/>
      <c r="E209" s="20"/>
      <c r="F209" s="20"/>
      <c r="G209" s="20"/>
      <c r="H209" s="20"/>
      <c r="I209" s="20"/>
      <c r="J209" s="20"/>
      <c r="K209" s="20"/>
      <c r="L209" s="19"/>
      <c r="M209" s="47"/>
      <c r="N209" s="20"/>
    </row>
    <row r="210" ht="22.5" customHeight="1">
      <c r="A210" s="20"/>
      <c r="B210" s="20"/>
      <c r="C210" s="20"/>
      <c r="D210" s="52"/>
      <c r="E210" s="20"/>
      <c r="F210" s="20"/>
      <c r="G210" s="20"/>
      <c r="H210" s="20"/>
      <c r="I210" s="20"/>
      <c r="J210" s="20"/>
      <c r="K210" s="20"/>
      <c r="L210" s="19"/>
      <c r="M210" s="47"/>
      <c r="N210" s="20"/>
    </row>
    <row r="211" ht="22.5" customHeight="1">
      <c r="A211" s="20"/>
      <c r="B211" s="20"/>
      <c r="C211" s="20"/>
      <c r="D211" s="52"/>
      <c r="E211" s="20"/>
      <c r="F211" s="20"/>
      <c r="G211" s="20"/>
      <c r="H211" s="20"/>
      <c r="I211" s="20"/>
      <c r="J211" s="20"/>
      <c r="K211" s="20"/>
      <c r="L211" s="19"/>
      <c r="M211" s="47"/>
      <c r="N211" s="20"/>
    </row>
    <row r="212" ht="22.5" customHeight="1">
      <c r="A212" s="20"/>
      <c r="B212" s="20"/>
      <c r="C212" s="20"/>
      <c r="D212" s="52"/>
      <c r="E212" s="20"/>
      <c r="F212" s="20"/>
      <c r="G212" s="20"/>
      <c r="H212" s="20"/>
      <c r="I212" s="20"/>
      <c r="J212" s="20"/>
      <c r="K212" s="20"/>
      <c r="L212" s="19"/>
      <c r="M212" s="47"/>
      <c r="N212" s="20"/>
    </row>
    <row r="213" ht="22.5" customHeight="1">
      <c r="A213" s="20"/>
      <c r="B213" s="20"/>
      <c r="C213" s="20"/>
      <c r="D213" s="52"/>
      <c r="E213" s="20"/>
      <c r="F213" s="20"/>
      <c r="G213" s="20"/>
      <c r="H213" s="20"/>
      <c r="I213" s="20"/>
      <c r="J213" s="20"/>
      <c r="K213" s="20"/>
      <c r="L213" s="19"/>
      <c r="M213" s="47"/>
      <c r="N213" s="20"/>
    </row>
    <row r="214" ht="22.5" customHeight="1">
      <c r="A214" s="20"/>
      <c r="B214" s="20"/>
      <c r="C214" s="20"/>
      <c r="D214" s="52"/>
      <c r="E214" s="20"/>
      <c r="F214" s="20"/>
      <c r="G214" s="20"/>
      <c r="H214" s="20"/>
      <c r="I214" s="20"/>
      <c r="J214" s="20"/>
      <c r="K214" s="20"/>
      <c r="L214" s="19"/>
      <c r="M214" s="47"/>
      <c r="N214" s="20"/>
    </row>
    <row r="215" ht="22.5" customHeight="1">
      <c r="A215" s="20"/>
      <c r="B215" s="20"/>
      <c r="C215" s="20"/>
      <c r="D215" s="52"/>
      <c r="E215" s="20"/>
      <c r="F215" s="20"/>
      <c r="G215" s="20"/>
      <c r="H215" s="20"/>
      <c r="I215" s="20"/>
      <c r="J215" s="20"/>
      <c r="K215" s="20"/>
      <c r="L215" s="19"/>
      <c r="M215" s="47"/>
      <c r="N215" s="20"/>
    </row>
    <row r="216" ht="22.5" customHeight="1">
      <c r="A216" s="20"/>
      <c r="B216" s="20"/>
      <c r="C216" s="20"/>
      <c r="D216" s="52"/>
      <c r="E216" s="20"/>
      <c r="F216" s="20"/>
      <c r="G216" s="20"/>
      <c r="H216" s="20"/>
      <c r="I216" s="20"/>
      <c r="J216" s="20"/>
      <c r="K216" s="20"/>
      <c r="L216" s="19"/>
      <c r="M216" s="47"/>
      <c r="N216" s="20"/>
    </row>
    <row r="217" ht="22.5" customHeight="1">
      <c r="A217" s="20"/>
      <c r="B217" s="20"/>
      <c r="C217" s="20"/>
      <c r="D217" s="52"/>
      <c r="E217" s="20"/>
      <c r="F217" s="20"/>
      <c r="G217" s="20"/>
      <c r="H217" s="20"/>
      <c r="I217" s="20"/>
      <c r="J217" s="20"/>
      <c r="K217" s="20"/>
      <c r="L217" s="19"/>
      <c r="M217" s="47"/>
      <c r="N217" s="20"/>
    </row>
    <row r="218" ht="22.5" customHeight="1">
      <c r="A218" s="20"/>
      <c r="B218" s="20"/>
      <c r="C218" s="20"/>
      <c r="D218" s="52"/>
      <c r="E218" s="20"/>
      <c r="F218" s="20"/>
      <c r="G218" s="20"/>
      <c r="H218" s="20"/>
      <c r="I218" s="20"/>
      <c r="J218" s="20"/>
      <c r="K218" s="20"/>
      <c r="L218" s="19"/>
      <c r="M218" s="47"/>
      <c r="N218" s="20"/>
    </row>
    <row r="219" ht="22.5" customHeight="1">
      <c r="A219" s="20"/>
      <c r="B219" s="20"/>
      <c r="C219" s="20"/>
      <c r="D219" s="52"/>
      <c r="E219" s="20"/>
      <c r="F219" s="20"/>
      <c r="G219" s="20"/>
      <c r="H219" s="20"/>
      <c r="I219" s="20"/>
      <c r="J219" s="20"/>
      <c r="K219" s="20"/>
      <c r="L219" s="19"/>
      <c r="M219" s="47"/>
      <c r="N219" s="20"/>
    </row>
    <row r="220" ht="22.5" customHeight="1">
      <c r="A220" s="20"/>
      <c r="B220" s="20"/>
      <c r="C220" s="20"/>
      <c r="D220" s="52"/>
      <c r="E220" s="20"/>
      <c r="F220" s="20"/>
      <c r="G220" s="20"/>
      <c r="H220" s="20"/>
      <c r="I220" s="20"/>
      <c r="J220" s="20"/>
      <c r="K220" s="20"/>
      <c r="L220" s="19"/>
      <c r="M220" s="47"/>
      <c r="N220" s="20"/>
    </row>
    <row r="221" ht="22.5" customHeight="1">
      <c r="A221" s="20"/>
      <c r="B221" s="20"/>
      <c r="C221" s="20"/>
      <c r="D221" s="52"/>
      <c r="E221" s="20"/>
      <c r="F221" s="20"/>
      <c r="G221" s="20"/>
      <c r="H221" s="20"/>
      <c r="I221" s="20"/>
      <c r="J221" s="20"/>
      <c r="K221" s="20"/>
      <c r="L221" s="19"/>
      <c r="M221" s="47"/>
      <c r="N221" s="20"/>
    </row>
    <row r="222" ht="22.5" customHeight="1">
      <c r="A222" s="20"/>
      <c r="B222" s="20"/>
      <c r="C222" s="20"/>
      <c r="D222" s="52"/>
      <c r="E222" s="20"/>
      <c r="F222" s="20"/>
      <c r="G222" s="20"/>
      <c r="H222" s="20"/>
      <c r="I222" s="20"/>
      <c r="J222" s="20"/>
      <c r="K222" s="20"/>
      <c r="L222" s="19"/>
      <c r="M222" s="47"/>
      <c r="N222" s="20"/>
    </row>
    <row r="223" ht="22.5" customHeight="1">
      <c r="A223" s="20"/>
      <c r="B223" s="20"/>
      <c r="C223" s="20"/>
      <c r="D223" s="52"/>
      <c r="E223" s="20"/>
      <c r="F223" s="20"/>
      <c r="G223" s="20"/>
      <c r="H223" s="20"/>
      <c r="I223" s="20"/>
      <c r="J223" s="20"/>
      <c r="K223" s="20"/>
      <c r="L223" s="19"/>
      <c r="M223" s="47"/>
      <c r="N223" s="20"/>
    </row>
    <row r="224" ht="22.5" customHeight="1">
      <c r="A224" s="20"/>
      <c r="B224" s="20"/>
      <c r="C224" s="20"/>
      <c r="D224" s="52"/>
      <c r="E224" s="20"/>
      <c r="F224" s="20"/>
      <c r="G224" s="20"/>
      <c r="H224" s="20"/>
      <c r="I224" s="20"/>
      <c r="J224" s="20"/>
      <c r="K224" s="20"/>
      <c r="L224" s="19"/>
      <c r="M224" s="47"/>
      <c r="N224" s="20"/>
    </row>
    <row r="225" ht="22.5" customHeight="1">
      <c r="A225" s="20"/>
      <c r="B225" s="20"/>
      <c r="C225" s="20"/>
      <c r="D225" s="52"/>
      <c r="E225" s="20"/>
      <c r="F225" s="20"/>
      <c r="G225" s="20"/>
      <c r="H225" s="20"/>
      <c r="I225" s="20"/>
      <c r="J225" s="20"/>
      <c r="K225" s="20"/>
      <c r="L225" s="19"/>
      <c r="M225" s="47"/>
      <c r="N225" s="20"/>
    </row>
    <row r="226" ht="22.5" customHeight="1">
      <c r="A226" s="20"/>
      <c r="B226" s="20"/>
      <c r="C226" s="20"/>
      <c r="D226" s="52"/>
      <c r="E226" s="20"/>
      <c r="F226" s="20"/>
      <c r="G226" s="20"/>
      <c r="H226" s="20"/>
      <c r="I226" s="20"/>
      <c r="J226" s="20"/>
      <c r="K226" s="20"/>
      <c r="L226" s="19"/>
      <c r="M226" s="47"/>
      <c r="N226" s="20"/>
    </row>
    <row r="227" ht="22.5" customHeight="1">
      <c r="A227" s="20"/>
      <c r="B227" s="20"/>
      <c r="C227" s="20"/>
      <c r="D227" s="52"/>
      <c r="E227" s="20"/>
      <c r="F227" s="20"/>
      <c r="G227" s="20"/>
      <c r="H227" s="20"/>
      <c r="I227" s="20"/>
      <c r="J227" s="20"/>
      <c r="K227" s="20"/>
      <c r="L227" s="19"/>
      <c r="M227" s="47"/>
      <c r="N227" s="20"/>
    </row>
    <row r="228" ht="22.5" customHeight="1">
      <c r="A228" s="20"/>
      <c r="B228" s="20"/>
      <c r="C228" s="20"/>
      <c r="D228" s="52"/>
      <c r="E228" s="20"/>
      <c r="F228" s="20"/>
      <c r="G228" s="20"/>
      <c r="H228" s="20"/>
      <c r="I228" s="20"/>
      <c r="J228" s="20"/>
      <c r="K228" s="20"/>
      <c r="L228" s="19"/>
      <c r="M228" s="47"/>
      <c r="N228" s="20"/>
    </row>
    <row r="229" ht="22.5" customHeight="1">
      <c r="A229" s="20"/>
      <c r="B229" s="20"/>
      <c r="C229" s="20"/>
      <c r="D229" s="52"/>
      <c r="E229" s="20"/>
      <c r="F229" s="20"/>
      <c r="G229" s="20"/>
      <c r="H229" s="20"/>
      <c r="I229" s="20"/>
      <c r="J229" s="20"/>
      <c r="K229" s="20"/>
      <c r="L229" s="19"/>
      <c r="M229" s="47"/>
      <c r="N229" s="20"/>
    </row>
    <row r="230" ht="22.5" customHeight="1">
      <c r="A230" s="20"/>
      <c r="B230" s="20"/>
      <c r="C230" s="20"/>
      <c r="D230" s="52"/>
      <c r="E230" s="20"/>
      <c r="F230" s="20"/>
      <c r="G230" s="20"/>
      <c r="H230" s="20"/>
      <c r="I230" s="20"/>
      <c r="J230" s="20"/>
      <c r="K230" s="20"/>
      <c r="L230" s="19"/>
      <c r="M230" s="47"/>
      <c r="N230" s="20"/>
    </row>
    <row r="231" ht="22.5" customHeight="1">
      <c r="A231" s="20"/>
      <c r="B231" s="20"/>
      <c r="C231" s="20"/>
      <c r="D231" s="52"/>
      <c r="E231" s="20"/>
      <c r="F231" s="20"/>
      <c r="G231" s="20"/>
      <c r="H231" s="20"/>
      <c r="I231" s="20"/>
      <c r="J231" s="20"/>
      <c r="K231" s="20"/>
      <c r="L231" s="19"/>
      <c r="M231" s="47"/>
      <c r="N231" s="20"/>
    </row>
    <row r="232" ht="22.5" customHeight="1">
      <c r="A232" s="20"/>
      <c r="B232" s="20"/>
      <c r="C232" s="20"/>
      <c r="D232" s="52"/>
      <c r="E232" s="20"/>
      <c r="F232" s="20"/>
      <c r="G232" s="20"/>
      <c r="H232" s="20"/>
      <c r="I232" s="20"/>
      <c r="J232" s="20"/>
      <c r="K232" s="20"/>
      <c r="L232" s="19"/>
      <c r="M232" s="47"/>
      <c r="N232" s="20"/>
    </row>
    <row r="233" ht="22.5" customHeight="1">
      <c r="A233" s="20"/>
      <c r="B233" s="20"/>
      <c r="C233" s="20"/>
      <c r="D233" s="52"/>
      <c r="E233" s="20"/>
      <c r="F233" s="20"/>
      <c r="G233" s="20"/>
      <c r="H233" s="20"/>
      <c r="I233" s="20"/>
      <c r="J233" s="20"/>
      <c r="K233" s="20"/>
      <c r="L233" s="19"/>
      <c r="M233" s="47"/>
      <c r="N233" s="20"/>
    </row>
    <row r="234" ht="22.5" customHeight="1">
      <c r="A234" s="20"/>
      <c r="B234" s="20"/>
      <c r="C234" s="20"/>
      <c r="D234" s="52"/>
      <c r="E234" s="20"/>
      <c r="F234" s="20"/>
      <c r="G234" s="20"/>
      <c r="H234" s="20"/>
      <c r="I234" s="20"/>
      <c r="J234" s="20"/>
      <c r="K234" s="20"/>
      <c r="L234" s="19"/>
      <c r="M234" s="47"/>
      <c r="N234" s="20"/>
    </row>
    <row r="235" ht="22.5" customHeight="1">
      <c r="A235" s="20"/>
      <c r="B235" s="20"/>
      <c r="C235" s="20"/>
      <c r="D235" s="52"/>
      <c r="E235" s="20"/>
      <c r="F235" s="20"/>
      <c r="G235" s="20"/>
      <c r="H235" s="20"/>
      <c r="I235" s="20"/>
      <c r="J235" s="20"/>
      <c r="K235" s="20"/>
      <c r="L235" s="19"/>
      <c r="M235" s="47"/>
      <c r="N235" s="20"/>
    </row>
    <row r="236" ht="22.5" customHeight="1">
      <c r="A236" s="20"/>
      <c r="B236" s="20"/>
      <c r="C236" s="20"/>
      <c r="D236" s="52"/>
      <c r="E236" s="20"/>
      <c r="F236" s="20"/>
      <c r="G236" s="20"/>
      <c r="H236" s="20"/>
      <c r="I236" s="20"/>
      <c r="J236" s="20"/>
      <c r="K236" s="20"/>
      <c r="L236" s="19"/>
      <c r="M236" s="47"/>
      <c r="N236" s="20"/>
    </row>
    <row r="237" ht="22.5" customHeight="1">
      <c r="A237" s="20"/>
      <c r="B237" s="20"/>
      <c r="C237" s="20"/>
      <c r="D237" s="52"/>
      <c r="E237" s="20"/>
      <c r="F237" s="20"/>
      <c r="G237" s="20"/>
      <c r="H237" s="20"/>
      <c r="I237" s="20"/>
      <c r="J237" s="20"/>
      <c r="K237" s="20"/>
      <c r="L237" s="19"/>
      <c r="M237" s="47"/>
      <c r="N237" s="20"/>
    </row>
    <row r="238" ht="22.5" customHeight="1">
      <c r="A238" s="20"/>
      <c r="B238" s="20"/>
      <c r="C238" s="20"/>
      <c r="D238" s="52"/>
      <c r="E238" s="20"/>
      <c r="F238" s="20"/>
      <c r="G238" s="20"/>
      <c r="H238" s="20"/>
      <c r="I238" s="20"/>
      <c r="J238" s="20"/>
      <c r="K238" s="20"/>
      <c r="L238" s="19"/>
      <c r="M238" s="47"/>
      <c r="N238" s="20"/>
    </row>
    <row r="239" ht="22.5" customHeight="1">
      <c r="A239" s="20"/>
      <c r="B239" s="20"/>
      <c r="C239" s="20"/>
      <c r="D239" s="52"/>
      <c r="E239" s="20"/>
      <c r="F239" s="20"/>
      <c r="G239" s="20"/>
      <c r="H239" s="20"/>
      <c r="I239" s="20"/>
      <c r="J239" s="20"/>
      <c r="K239" s="20"/>
      <c r="L239" s="19"/>
      <c r="M239" s="47"/>
      <c r="N239" s="20"/>
    </row>
    <row r="240" ht="22.5" customHeight="1">
      <c r="A240" s="20"/>
      <c r="B240" s="20"/>
      <c r="C240" s="20"/>
      <c r="D240" s="52"/>
      <c r="E240" s="20"/>
      <c r="F240" s="20"/>
      <c r="G240" s="20"/>
      <c r="H240" s="20"/>
      <c r="I240" s="20"/>
      <c r="J240" s="20"/>
      <c r="K240" s="20"/>
      <c r="L240" s="19"/>
      <c r="M240" s="47"/>
      <c r="N240" s="20"/>
    </row>
    <row r="241" ht="22.5" customHeight="1">
      <c r="A241" s="20"/>
      <c r="B241" s="20"/>
      <c r="C241" s="20"/>
      <c r="D241" s="52"/>
      <c r="E241" s="20"/>
      <c r="F241" s="20"/>
      <c r="G241" s="20"/>
      <c r="H241" s="20"/>
      <c r="I241" s="20"/>
      <c r="J241" s="20"/>
      <c r="K241" s="20"/>
      <c r="L241" s="19"/>
      <c r="M241" s="47"/>
      <c r="N241" s="20"/>
    </row>
    <row r="242" ht="22.5" customHeight="1">
      <c r="A242" s="20"/>
      <c r="B242" s="20"/>
      <c r="C242" s="20"/>
      <c r="D242" s="52"/>
      <c r="E242" s="20"/>
      <c r="F242" s="20"/>
      <c r="G242" s="20"/>
      <c r="H242" s="20"/>
      <c r="I242" s="20"/>
      <c r="J242" s="20"/>
      <c r="K242" s="20"/>
      <c r="L242" s="19"/>
      <c r="M242" s="47"/>
      <c r="N242" s="20"/>
    </row>
    <row r="243" ht="22.5" customHeight="1">
      <c r="A243" s="20"/>
      <c r="B243" s="20"/>
      <c r="C243" s="20"/>
      <c r="D243" s="52"/>
      <c r="E243" s="20"/>
      <c r="F243" s="20"/>
      <c r="G243" s="20"/>
      <c r="H243" s="20"/>
      <c r="I243" s="20"/>
      <c r="J243" s="20"/>
      <c r="K243" s="20"/>
      <c r="L243" s="19"/>
      <c r="M243" s="47"/>
      <c r="N243" s="20"/>
    </row>
    <row r="244" ht="22.5" customHeight="1">
      <c r="A244" s="20"/>
      <c r="B244" s="20"/>
      <c r="C244" s="20"/>
      <c r="D244" s="52"/>
      <c r="E244" s="20"/>
      <c r="F244" s="20"/>
      <c r="G244" s="20"/>
      <c r="H244" s="20"/>
      <c r="I244" s="20"/>
      <c r="J244" s="20"/>
      <c r="K244" s="20"/>
      <c r="L244" s="19"/>
      <c r="M244" s="47"/>
      <c r="N244" s="20"/>
    </row>
    <row r="245" ht="22.5" customHeight="1">
      <c r="A245" s="20"/>
      <c r="B245" s="20"/>
      <c r="C245" s="20"/>
      <c r="D245" s="52"/>
      <c r="E245" s="20"/>
      <c r="F245" s="20"/>
      <c r="G245" s="20"/>
      <c r="H245" s="20"/>
      <c r="I245" s="20"/>
      <c r="J245" s="20"/>
      <c r="K245" s="20"/>
      <c r="L245" s="19"/>
      <c r="M245" s="47"/>
      <c r="N245" s="20"/>
    </row>
    <row r="246" ht="22.5" customHeight="1">
      <c r="A246" s="20"/>
      <c r="B246" s="20"/>
      <c r="C246" s="20"/>
      <c r="D246" s="52"/>
      <c r="E246" s="20"/>
      <c r="F246" s="20"/>
      <c r="G246" s="20"/>
      <c r="H246" s="20"/>
      <c r="I246" s="20"/>
      <c r="J246" s="20"/>
      <c r="K246" s="20"/>
      <c r="L246" s="19"/>
      <c r="M246" s="47"/>
      <c r="N246" s="20"/>
    </row>
    <row r="247" ht="22.5" customHeight="1">
      <c r="A247" s="20"/>
      <c r="B247" s="20"/>
      <c r="C247" s="20"/>
      <c r="D247" s="52"/>
      <c r="E247" s="20"/>
      <c r="F247" s="20"/>
      <c r="G247" s="20"/>
      <c r="H247" s="20"/>
      <c r="I247" s="20"/>
      <c r="J247" s="20"/>
      <c r="K247" s="20"/>
      <c r="L247" s="19"/>
      <c r="M247" s="47"/>
      <c r="N247" s="20"/>
    </row>
    <row r="248" ht="22.5" customHeight="1">
      <c r="A248" s="20"/>
      <c r="B248" s="20"/>
      <c r="C248" s="20"/>
      <c r="D248" s="52"/>
      <c r="E248" s="20"/>
      <c r="F248" s="20"/>
      <c r="G248" s="20"/>
      <c r="H248" s="20"/>
      <c r="I248" s="20"/>
      <c r="J248" s="20"/>
      <c r="K248" s="20"/>
      <c r="L248" s="19"/>
      <c r="M248" s="47"/>
      <c r="N248" s="20"/>
    </row>
    <row r="249" ht="22.5" customHeight="1">
      <c r="A249" s="20"/>
      <c r="B249" s="20"/>
      <c r="C249" s="20"/>
      <c r="D249" s="52"/>
      <c r="E249" s="20"/>
      <c r="F249" s="20"/>
      <c r="G249" s="20"/>
      <c r="H249" s="20"/>
      <c r="I249" s="20"/>
      <c r="J249" s="20"/>
      <c r="K249" s="20"/>
      <c r="L249" s="19"/>
      <c r="M249" s="47"/>
      <c r="N249" s="20"/>
    </row>
    <row r="250" ht="22.5" customHeight="1">
      <c r="A250" s="20"/>
      <c r="B250" s="20"/>
      <c r="C250" s="20"/>
      <c r="D250" s="52"/>
      <c r="E250" s="20"/>
      <c r="F250" s="20"/>
      <c r="G250" s="20"/>
      <c r="H250" s="20"/>
      <c r="I250" s="20"/>
      <c r="J250" s="20"/>
      <c r="K250" s="20"/>
      <c r="L250" s="19"/>
      <c r="M250" s="47"/>
      <c r="N250" s="20"/>
    </row>
    <row r="251" ht="22.5" customHeight="1">
      <c r="A251" s="20"/>
      <c r="B251" s="20"/>
      <c r="C251" s="20"/>
      <c r="D251" s="52"/>
      <c r="E251" s="20"/>
      <c r="F251" s="20"/>
      <c r="G251" s="20"/>
      <c r="H251" s="20"/>
      <c r="I251" s="20"/>
      <c r="J251" s="20"/>
      <c r="K251" s="20"/>
      <c r="L251" s="19"/>
      <c r="M251" s="47"/>
      <c r="N251" s="20"/>
    </row>
    <row r="252" ht="22.5" customHeight="1">
      <c r="A252" s="20"/>
      <c r="B252" s="20"/>
      <c r="C252" s="20"/>
      <c r="D252" s="52"/>
      <c r="E252" s="20"/>
      <c r="F252" s="20"/>
      <c r="G252" s="20"/>
      <c r="H252" s="20"/>
      <c r="I252" s="20"/>
      <c r="J252" s="20"/>
      <c r="K252" s="20"/>
      <c r="L252" s="19"/>
      <c r="M252" s="47"/>
      <c r="N252" s="20"/>
    </row>
    <row r="253" ht="22.5" customHeight="1">
      <c r="A253" s="20"/>
      <c r="B253" s="20"/>
      <c r="C253" s="20"/>
      <c r="D253" s="52"/>
      <c r="E253" s="20"/>
      <c r="F253" s="20"/>
      <c r="G253" s="20"/>
      <c r="H253" s="20"/>
      <c r="I253" s="20"/>
      <c r="J253" s="20"/>
      <c r="K253" s="20"/>
      <c r="L253" s="19"/>
      <c r="M253" s="47"/>
      <c r="N253" s="20"/>
    </row>
    <row r="254" ht="22.5" customHeight="1">
      <c r="A254" s="20"/>
      <c r="B254" s="20"/>
      <c r="C254" s="20"/>
      <c r="D254" s="52"/>
      <c r="E254" s="20"/>
      <c r="F254" s="20"/>
      <c r="G254" s="20"/>
      <c r="H254" s="20"/>
      <c r="I254" s="20"/>
      <c r="J254" s="20"/>
      <c r="K254" s="20"/>
      <c r="L254" s="19"/>
      <c r="M254" s="47"/>
      <c r="N254" s="20"/>
    </row>
    <row r="255" ht="22.5" customHeight="1">
      <c r="A255" s="20"/>
      <c r="B255" s="20"/>
      <c r="C255" s="20"/>
      <c r="D255" s="52"/>
      <c r="E255" s="20"/>
      <c r="F255" s="20"/>
      <c r="G255" s="20"/>
      <c r="H255" s="20"/>
      <c r="I255" s="20"/>
      <c r="J255" s="20"/>
      <c r="K255" s="20"/>
      <c r="L255" s="19"/>
      <c r="M255" s="47"/>
      <c r="N255" s="20"/>
    </row>
    <row r="256" ht="22.5" customHeight="1">
      <c r="A256" s="20"/>
      <c r="B256" s="20"/>
      <c r="C256" s="20"/>
      <c r="D256" s="52"/>
      <c r="E256" s="20"/>
      <c r="F256" s="20"/>
      <c r="G256" s="20"/>
      <c r="H256" s="20"/>
      <c r="I256" s="20"/>
      <c r="J256" s="20"/>
      <c r="K256" s="20"/>
      <c r="L256" s="19"/>
      <c r="M256" s="47"/>
      <c r="N256" s="20"/>
    </row>
    <row r="257" ht="22.5" customHeight="1">
      <c r="A257" s="20"/>
      <c r="B257" s="20"/>
      <c r="C257" s="20"/>
      <c r="D257" s="52"/>
      <c r="E257" s="20"/>
      <c r="F257" s="20"/>
      <c r="G257" s="20"/>
      <c r="H257" s="20"/>
      <c r="I257" s="20"/>
      <c r="J257" s="20"/>
      <c r="K257" s="20"/>
      <c r="L257" s="19"/>
      <c r="M257" s="47"/>
      <c r="N257" s="20"/>
    </row>
    <row r="258" ht="22.5" customHeight="1">
      <c r="A258" s="20"/>
      <c r="B258" s="20"/>
      <c r="C258" s="20"/>
      <c r="D258" s="52"/>
      <c r="E258" s="20"/>
      <c r="F258" s="20"/>
      <c r="G258" s="20"/>
      <c r="H258" s="20"/>
      <c r="I258" s="20"/>
      <c r="J258" s="20"/>
      <c r="K258" s="20"/>
      <c r="L258" s="19"/>
      <c r="M258" s="47"/>
      <c r="N258" s="20"/>
    </row>
    <row r="259" ht="22.5" customHeight="1">
      <c r="A259" s="20"/>
      <c r="B259" s="20"/>
      <c r="C259" s="20"/>
      <c r="D259" s="52"/>
      <c r="E259" s="20"/>
      <c r="F259" s="20"/>
      <c r="G259" s="20"/>
      <c r="H259" s="20"/>
      <c r="I259" s="20"/>
      <c r="J259" s="20"/>
      <c r="K259" s="20"/>
      <c r="L259" s="19"/>
      <c r="M259" s="47"/>
      <c r="N259" s="20"/>
    </row>
    <row r="260" ht="22.5" customHeight="1">
      <c r="A260" s="20"/>
      <c r="B260" s="20"/>
      <c r="C260" s="20"/>
      <c r="D260" s="52"/>
      <c r="E260" s="20"/>
      <c r="F260" s="20"/>
      <c r="G260" s="20"/>
      <c r="H260" s="20"/>
      <c r="I260" s="20"/>
      <c r="J260" s="20"/>
      <c r="K260" s="20"/>
      <c r="L260" s="19"/>
      <c r="M260" s="47"/>
      <c r="N260" s="20"/>
    </row>
    <row r="261" ht="22.5" customHeight="1">
      <c r="A261" s="20"/>
      <c r="B261" s="20"/>
      <c r="C261" s="20"/>
      <c r="D261" s="52"/>
      <c r="E261" s="20"/>
      <c r="F261" s="20"/>
      <c r="G261" s="20"/>
      <c r="H261" s="20"/>
      <c r="I261" s="20"/>
      <c r="J261" s="20"/>
      <c r="K261" s="20"/>
      <c r="L261" s="19"/>
      <c r="M261" s="47"/>
      <c r="N261" s="20"/>
    </row>
    <row r="262" ht="22.5" customHeight="1">
      <c r="A262" s="20"/>
      <c r="B262" s="20"/>
      <c r="C262" s="20"/>
      <c r="D262" s="52"/>
      <c r="E262" s="20"/>
      <c r="F262" s="20"/>
      <c r="G262" s="20"/>
      <c r="H262" s="20"/>
      <c r="I262" s="20"/>
      <c r="J262" s="20"/>
      <c r="K262" s="20"/>
      <c r="L262" s="19"/>
      <c r="M262" s="47"/>
      <c r="N262" s="20"/>
    </row>
    <row r="263" ht="22.5" customHeight="1">
      <c r="A263" s="20"/>
      <c r="B263" s="20"/>
      <c r="C263" s="20"/>
      <c r="D263" s="52"/>
      <c r="E263" s="20"/>
      <c r="F263" s="20"/>
      <c r="G263" s="20"/>
      <c r="H263" s="20"/>
      <c r="I263" s="20"/>
      <c r="J263" s="20"/>
      <c r="K263" s="20"/>
      <c r="L263" s="19"/>
      <c r="M263" s="47"/>
      <c r="N263" s="20"/>
    </row>
    <row r="264" ht="22.5" customHeight="1">
      <c r="A264" s="20"/>
      <c r="B264" s="20"/>
      <c r="C264" s="20"/>
      <c r="D264" s="52"/>
      <c r="E264" s="20"/>
      <c r="F264" s="20"/>
      <c r="G264" s="20"/>
      <c r="H264" s="20"/>
      <c r="I264" s="20"/>
      <c r="J264" s="20"/>
      <c r="K264" s="20"/>
      <c r="L264" s="19"/>
      <c r="M264" s="47"/>
      <c r="N264" s="20"/>
    </row>
    <row r="265" ht="22.5" customHeight="1">
      <c r="A265" s="20"/>
      <c r="B265" s="20"/>
      <c r="C265" s="20"/>
      <c r="D265" s="52"/>
      <c r="E265" s="20"/>
      <c r="F265" s="20"/>
      <c r="G265" s="20"/>
      <c r="H265" s="20"/>
      <c r="I265" s="20"/>
      <c r="J265" s="20"/>
      <c r="K265" s="20"/>
      <c r="L265" s="19"/>
      <c r="M265" s="47"/>
      <c r="N265" s="20"/>
    </row>
    <row r="266" ht="22.5" customHeight="1">
      <c r="A266" s="20"/>
      <c r="B266" s="20"/>
      <c r="C266" s="20"/>
      <c r="D266" s="52"/>
      <c r="E266" s="20"/>
      <c r="F266" s="20"/>
      <c r="G266" s="20"/>
      <c r="H266" s="20"/>
      <c r="I266" s="20"/>
      <c r="J266" s="20"/>
      <c r="K266" s="20"/>
      <c r="L266" s="19"/>
      <c r="M266" s="47"/>
      <c r="N266" s="20"/>
    </row>
    <row r="267" ht="22.5" customHeight="1">
      <c r="A267" s="20"/>
      <c r="B267" s="20"/>
      <c r="C267" s="20"/>
      <c r="D267" s="52"/>
      <c r="E267" s="20"/>
      <c r="F267" s="20"/>
      <c r="G267" s="20"/>
      <c r="H267" s="20"/>
      <c r="I267" s="20"/>
      <c r="J267" s="20"/>
      <c r="K267" s="20"/>
      <c r="L267" s="19"/>
      <c r="M267" s="47"/>
      <c r="N267" s="20"/>
    </row>
    <row r="268" ht="22.5" customHeight="1">
      <c r="A268" s="20"/>
      <c r="B268" s="20"/>
      <c r="C268" s="20"/>
      <c r="D268" s="52"/>
      <c r="E268" s="20"/>
      <c r="F268" s="20"/>
      <c r="G268" s="20"/>
      <c r="H268" s="20"/>
      <c r="I268" s="20"/>
      <c r="J268" s="20"/>
      <c r="K268" s="20"/>
      <c r="L268" s="19"/>
      <c r="M268" s="47"/>
      <c r="N268" s="20"/>
    </row>
    <row r="269" ht="22.5" customHeight="1">
      <c r="A269" s="20"/>
      <c r="B269" s="20"/>
      <c r="C269" s="20"/>
      <c r="D269" s="52"/>
      <c r="E269" s="20"/>
      <c r="F269" s="20"/>
      <c r="G269" s="20"/>
      <c r="H269" s="20"/>
      <c r="I269" s="20"/>
      <c r="J269" s="20"/>
      <c r="K269" s="20"/>
      <c r="L269" s="19"/>
      <c r="M269" s="47"/>
      <c r="N269" s="20"/>
    </row>
    <row r="270" ht="22.5" customHeight="1">
      <c r="A270" s="20"/>
      <c r="B270" s="20"/>
      <c r="C270" s="20"/>
      <c r="D270" s="52"/>
      <c r="E270" s="20"/>
      <c r="F270" s="20"/>
      <c r="G270" s="20"/>
      <c r="H270" s="20"/>
      <c r="I270" s="20"/>
      <c r="J270" s="20"/>
      <c r="K270" s="20"/>
      <c r="L270" s="19"/>
      <c r="M270" s="47"/>
      <c r="N270" s="20"/>
    </row>
    <row r="271" ht="22.5" customHeight="1">
      <c r="A271" s="20"/>
      <c r="B271" s="20"/>
      <c r="C271" s="20"/>
      <c r="D271" s="52"/>
      <c r="E271" s="20"/>
      <c r="F271" s="20"/>
      <c r="G271" s="20"/>
      <c r="H271" s="20"/>
      <c r="I271" s="20"/>
      <c r="J271" s="20"/>
      <c r="K271" s="20"/>
      <c r="L271" s="19"/>
      <c r="M271" s="47"/>
      <c r="N271" s="20"/>
    </row>
    <row r="272" ht="22.5" customHeight="1">
      <c r="A272" s="20"/>
      <c r="B272" s="20"/>
      <c r="C272" s="20"/>
      <c r="D272" s="52"/>
      <c r="E272" s="20"/>
      <c r="F272" s="20"/>
      <c r="G272" s="20"/>
      <c r="H272" s="20"/>
      <c r="I272" s="20"/>
      <c r="J272" s="20"/>
      <c r="K272" s="20"/>
      <c r="L272" s="19"/>
      <c r="M272" s="47"/>
      <c r="N272" s="20"/>
    </row>
    <row r="273" ht="22.5" customHeight="1">
      <c r="A273" s="20"/>
      <c r="B273" s="20"/>
      <c r="C273" s="20"/>
      <c r="D273" s="52"/>
      <c r="E273" s="20"/>
      <c r="F273" s="20"/>
      <c r="G273" s="20"/>
      <c r="H273" s="20"/>
      <c r="I273" s="20"/>
      <c r="J273" s="20"/>
      <c r="K273" s="20"/>
      <c r="L273" s="19"/>
      <c r="M273" s="47"/>
      <c r="N273" s="20"/>
    </row>
    <row r="274" ht="22.5" customHeight="1">
      <c r="A274" s="20"/>
      <c r="B274" s="20"/>
      <c r="C274" s="20"/>
      <c r="D274" s="52"/>
      <c r="E274" s="20"/>
      <c r="F274" s="20"/>
      <c r="G274" s="20"/>
      <c r="H274" s="20"/>
      <c r="I274" s="20"/>
      <c r="J274" s="20"/>
      <c r="K274" s="20"/>
      <c r="L274" s="19"/>
      <c r="M274" s="47"/>
      <c r="N274" s="20"/>
    </row>
    <row r="275" ht="22.5" customHeight="1">
      <c r="A275" s="20"/>
      <c r="B275" s="20"/>
      <c r="C275" s="20"/>
      <c r="D275" s="52"/>
      <c r="E275" s="20"/>
      <c r="F275" s="20"/>
      <c r="G275" s="20"/>
      <c r="H275" s="20"/>
      <c r="I275" s="20"/>
      <c r="J275" s="20"/>
      <c r="K275" s="20"/>
      <c r="L275" s="19"/>
      <c r="M275" s="47"/>
      <c r="N275" s="20"/>
    </row>
    <row r="276" ht="22.5" customHeight="1">
      <c r="A276" s="20"/>
      <c r="B276" s="20"/>
      <c r="C276" s="20"/>
      <c r="D276" s="52"/>
      <c r="E276" s="20"/>
      <c r="F276" s="20"/>
      <c r="G276" s="20"/>
      <c r="H276" s="20"/>
      <c r="I276" s="20"/>
      <c r="J276" s="20"/>
      <c r="K276" s="20"/>
      <c r="L276" s="19"/>
      <c r="M276" s="47"/>
      <c r="N276" s="20"/>
    </row>
    <row r="277" ht="22.5" customHeight="1">
      <c r="A277" s="20"/>
      <c r="B277" s="20"/>
      <c r="C277" s="20"/>
      <c r="D277" s="52"/>
      <c r="E277" s="20"/>
      <c r="F277" s="20"/>
      <c r="G277" s="20"/>
      <c r="H277" s="20"/>
      <c r="I277" s="20"/>
      <c r="J277" s="20"/>
      <c r="K277" s="20"/>
      <c r="L277" s="19"/>
      <c r="M277" s="47"/>
      <c r="N277" s="20"/>
    </row>
    <row r="278" ht="22.5" customHeight="1">
      <c r="A278" s="20"/>
      <c r="B278" s="20"/>
      <c r="C278" s="20"/>
      <c r="D278" s="52"/>
      <c r="E278" s="20"/>
      <c r="F278" s="20"/>
      <c r="G278" s="20"/>
      <c r="H278" s="20"/>
      <c r="I278" s="20"/>
      <c r="J278" s="20"/>
      <c r="K278" s="20"/>
      <c r="L278" s="19"/>
      <c r="M278" s="47"/>
      <c r="N278" s="20"/>
    </row>
    <row r="279" ht="22.5" customHeight="1">
      <c r="A279" s="20"/>
      <c r="B279" s="20"/>
      <c r="C279" s="20"/>
      <c r="D279" s="52"/>
      <c r="E279" s="20"/>
      <c r="F279" s="20"/>
      <c r="G279" s="20"/>
      <c r="H279" s="20"/>
      <c r="I279" s="20"/>
      <c r="J279" s="20"/>
      <c r="K279" s="20"/>
      <c r="L279" s="19"/>
      <c r="M279" s="47"/>
      <c r="N279" s="20"/>
    </row>
    <row r="280" ht="22.5" customHeight="1">
      <c r="A280" s="20"/>
      <c r="B280" s="20"/>
      <c r="C280" s="20"/>
      <c r="D280" s="52"/>
      <c r="E280" s="20"/>
      <c r="F280" s="20"/>
      <c r="G280" s="20"/>
      <c r="H280" s="20"/>
      <c r="I280" s="20"/>
      <c r="J280" s="20"/>
      <c r="K280" s="20"/>
      <c r="L280" s="19"/>
      <c r="M280" s="47"/>
      <c r="N280" s="20"/>
    </row>
    <row r="281" ht="22.5" customHeight="1">
      <c r="A281" s="20"/>
      <c r="B281" s="20"/>
      <c r="C281" s="20"/>
      <c r="D281" s="52"/>
      <c r="E281" s="20"/>
      <c r="F281" s="20"/>
      <c r="G281" s="20"/>
      <c r="H281" s="20"/>
      <c r="I281" s="20"/>
      <c r="J281" s="20"/>
      <c r="K281" s="20"/>
      <c r="L281" s="19"/>
      <c r="M281" s="47"/>
      <c r="N281" s="20"/>
    </row>
    <row r="282" ht="22.5" customHeight="1">
      <c r="A282" s="20"/>
      <c r="B282" s="20"/>
      <c r="C282" s="20"/>
      <c r="D282" s="52"/>
      <c r="E282" s="20"/>
      <c r="F282" s="20"/>
      <c r="G282" s="20"/>
      <c r="H282" s="20"/>
      <c r="I282" s="20"/>
      <c r="J282" s="20"/>
      <c r="K282" s="20"/>
      <c r="L282" s="19"/>
      <c r="M282" s="47"/>
      <c r="N282" s="20"/>
    </row>
    <row r="283" ht="22.5" customHeight="1">
      <c r="A283" s="20"/>
      <c r="B283" s="20"/>
      <c r="C283" s="20"/>
      <c r="D283" s="52"/>
      <c r="E283" s="20"/>
      <c r="F283" s="20"/>
      <c r="G283" s="20"/>
      <c r="H283" s="20"/>
      <c r="I283" s="20"/>
      <c r="J283" s="20"/>
      <c r="K283" s="20"/>
      <c r="L283" s="19"/>
      <c r="M283" s="47"/>
      <c r="N283" s="20"/>
    </row>
    <row r="284" ht="22.5" customHeight="1">
      <c r="A284" s="20"/>
      <c r="B284" s="20"/>
      <c r="C284" s="20"/>
      <c r="D284" s="52"/>
      <c r="E284" s="20"/>
      <c r="F284" s="20"/>
      <c r="G284" s="20"/>
      <c r="H284" s="20"/>
      <c r="I284" s="20"/>
      <c r="J284" s="20"/>
      <c r="K284" s="20"/>
      <c r="L284" s="19"/>
      <c r="M284" s="47"/>
      <c r="N284" s="20"/>
    </row>
    <row r="285" ht="22.5" customHeight="1">
      <c r="A285" s="20"/>
      <c r="B285" s="20"/>
      <c r="C285" s="20"/>
      <c r="D285" s="52"/>
      <c r="E285" s="20"/>
      <c r="F285" s="20"/>
      <c r="G285" s="20"/>
      <c r="H285" s="20"/>
      <c r="I285" s="20"/>
      <c r="J285" s="20"/>
      <c r="K285" s="20"/>
      <c r="L285" s="19"/>
      <c r="M285" s="47"/>
      <c r="N285" s="20"/>
    </row>
    <row r="286" ht="22.5" customHeight="1">
      <c r="A286" s="20"/>
      <c r="B286" s="20"/>
      <c r="C286" s="20"/>
      <c r="D286" s="52"/>
      <c r="E286" s="20"/>
      <c r="F286" s="20"/>
      <c r="G286" s="20"/>
      <c r="H286" s="20"/>
      <c r="I286" s="20"/>
      <c r="J286" s="20"/>
      <c r="K286" s="20"/>
      <c r="L286" s="19"/>
      <c r="M286" s="47"/>
      <c r="N286" s="20"/>
    </row>
    <row r="287" ht="22.5" customHeight="1">
      <c r="A287" s="20"/>
      <c r="B287" s="20"/>
      <c r="C287" s="20"/>
      <c r="D287" s="52"/>
      <c r="E287" s="20"/>
      <c r="F287" s="20"/>
      <c r="G287" s="20"/>
      <c r="H287" s="20"/>
      <c r="I287" s="20"/>
      <c r="J287" s="20"/>
      <c r="K287" s="20"/>
      <c r="L287" s="19"/>
      <c r="M287" s="47"/>
      <c r="N287" s="20"/>
    </row>
    <row r="288" ht="22.5" customHeight="1">
      <c r="A288" s="20"/>
      <c r="B288" s="20"/>
      <c r="C288" s="20"/>
      <c r="D288" s="52"/>
      <c r="E288" s="20"/>
      <c r="F288" s="20"/>
      <c r="G288" s="20"/>
      <c r="H288" s="20"/>
      <c r="I288" s="20"/>
      <c r="J288" s="20"/>
      <c r="K288" s="20"/>
      <c r="L288" s="19"/>
      <c r="M288" s="47"/>
      <c r="N288" s="20"/>
    </row>
    <row r="289" ht="22.5" customHeight="1">
      <c r="A289" s="20"/>
      <c r="B289" s="20"/>
      <c r="C289" s="20"/>
      <c r="D289" s="52"/>
      <c r="E289" s="20"/>
      <c r="F289" s="20"/>
      <c r="G289" s="20"/>
      <c r="H289" s="20"/>
      <c r="I289" s="20"/>
      <c r="J289" s="20"/>
      <c r="K289" s="20"/>
      <c r="L289" s="19"/>
      <c r="M289" s="47"/>
      <c r="N289" s="20"/>
    </row>
    <row r="290" ht="22.5" customHeight="1">
      <c r="A290" s="20"/>
      <c r="B290" s="20"/>
      <c r="C290" s="20"/>
      <c r="D290" s="52"/>
      <c r="E290" s="20"/>
      <c r="F290" s="20"/>
      <c r="G290" s="20"/>
      <c r="H290" s="20"/>
      <c r="I290" s="20"/>
      <c r="J290" s="20"/>
      <c r="K290" s="20"/>
      <c r="L290" s="19"/>
      <c r="M290" s="47"/>
      <c r="N290" s="20"/>
    </row>
    <row r="291" ht="22.5" customHeight="1">
      <c r="A291" s="20"/>
      <c r="B291" s="20"/>
      <c r="C291" s="20"/>
      <c r="D291" s="52"/>
      <c r="E291" s="20"/>
      <c r="F291" s="20"/>
      <c r="G291" s="20"/>
      <c r="H291" s="20"/>
      <c r="I291" s="20"/>
      <c r="J291" s="20"/>
      <c r="K291" s="20"/>
      <c r="L291" s="19"/>
      <c r="M291" s="47"/>
      <c r="N291" s="20"/>
    </row>
    <row r="292" ht="22.5" customHeight="1">
      <c r="A292" s="20"/>
      <c r="B292" s="20"/>
      <c r="C292" s="20"/>
      <c r="D292" s="52"/>
      <c r="E292" s="20"/>
      <c r="F292" s="20"/>
      <c r="G292" s="20"/>
      <c r="H292" s="20"/>
      <c r="I292" s="20"/>
      <c r="J292" s="20"/>
      <c r="K292" s="20"/>
      <c r="L292" s="19"/>
      <c r="M292" s="47"/>
      <c r="N292" s="20"/>
    </row>
    <row r="293" ht="22.5" customHeight="1">
      <c r="A293" s="20"/>
      <c r="B293" s="20"/>
      <c r="C293" s="20"/>
      <c r="D293" s="52"/>
      <c r="E293" s="20"/>
      <c r="F293" s="20"/>
      <c r="G293" s="20"/>
      <c r="H293" s="20"/>
      <c r="I293" s="20"/>
      <c r="J293" s="20"/>
      <c r="K293" s="20"/>
      <c r="L293" s="19"/>
      <c r="M293" s="47"/>
      <c r="N293" s="20"/>
    </row>
    <row r="294" ht="22.5" customHeight="1">
      <c r="A294" s="20"/>
      <c r="B294" s="20"/>
      <c r="C294" s="20"/>
      <c r="D294" s="52"/>
      <c r="E294" s="20"/>
      <c r="F294" s="20"/>
      <c r="G294" s="20"/>
      <c r="H294" s="20"/>
      <c r="I294" s="20"/>
      <c r="J294" s="20"/>
      <c r="K294" s="20"/>
      <c r="L294" s="19"/>
      <c r="M294" s="47"/>
      <c r="N294" s="20"/>
    </row>
    <row r="295" ht="22.5" customHeight="1">
      <c r="A295" s="20"/>
      <c r="B295" s="20"/>
      <c r="C295" s="20"/>
      <c r="D295" s="52"/>
      <c r="E295" s="20"/>
      <c r="F295" s="20"/>
      <c r="G295" s="20"/>
      <c r="H295" s="20"/>
      <c r="I295" s="20"/>
      <c r="J295" s="20"/>
      <c r="K295" s="20"/>
      <c r="L295" s="19"/>
      <c r="M295" s="47"/>
      <c r="N295" s="20"/>
    </row>
    <row r="296" ht="22.5" customHeight="1">
      <c r="A296" s="20"/>
      <c r="B296" s="20"/>
      <c r="C296" s="20"/>
      <c r="D296" s="52"/>
      <c r="E296" s="20"/>
      <c r="F296" s="20"/>
      <c r="G296" s="20"/>
      <c r="H296" s="20"/>
      <c r="I296" s="20"/>
      <c r="J296" s="20"/>
      <c r="K296" s="20"/>
      <c r="L296" s="19"/>
      <c r="M296" s="47"/>
      <c r="N296" s="20"/>
    </row>
    <row r="297" ht="22.5" customHeight="1">
      <c r="A297" s="20"/>
      <c r="B297" s="20"/>
      <c r="C297" s="20"/>
      <c r="D297" s="52"/>
      <c r="E297" s="20"/>
      <c r="F297" s="20"/>
      <c r="G297" s="20"/>
      <c r="H297" s="20"/>
      <c r="I297" s="20"/>
      <c r="J297" s="20"/>
      <c r="K297" s="20"/>
      <c r="L297" s="19"/>
      <c r="M297" s="47"/>
      <c r="N297" s="20"/>
    </row>
    <row r="298" ht="22.5" customHeight="1">
      <c r="A298" s="20"/>
      <c r="B298" s="20"/>
      <c r="C298" s="20"/>
      <c r="D298" s="52"/>
      <c r="E298" s="20"/>
      <c r="F298" s="20"/>
      <c r="G298" s="20"/>
      <c r="H298" s="20"/>
      <c r="I298" s="20"/>
      <c r="J298" s="20"/>
      <c r="K298" s="20"/>
      <c r="L298" s="19"/>
      <c r="M298" s="47"/>
      <c r="N298" s="20"/>
    </row>
    <row r="299" ht="22.5" customHeight="1">
      <c r="A299" s="20"/>
      <c r="B299" s="20"/>
      <c r="C299" s="20"/>
      <c r="D299" s="52"/>
      <c r="E299" s="20"/>
      <c r="F299" s="20"/>
      <c r="G299" s="20"/>
      <c r="H299" s="20"/>
      <c r="I299" s="20"/>
      <c r="J299" s="20"/>
      <c r="K299" s="20"/>
      <c r="L299" s="19"/>
      <c r="M299" s="47"/>
      <c r="N299" s="20"/>
    </row>
    <row r="300" ht="22.5" customHeight="1">
      <c r="A300" s="20"/>
      <c r="B300" s="20"/>
      <c r="C300" s="20"/>
      <c r="D300" s="52"/>
      <c r="E300" s="20"/>
      <c r="F300" s="20"/>
      <c r="G300" s="20"/>
      <c r="H300" s="20"/>
      <c r="I300" s="20"/>
      <c r="J300" s="20"/>
      <c r="K300" s="20"/>
      <c r="L300" s="19"/>
      <c r="M300" s="47"/>
      <c r="N300" s="20"/>
    </row>
    <row r="301" ht="22.5" customHeight="1">
      <c r="A301" s="20"/>
      <c r="B301" s="20"/>
      <c r="C301" s="20"/>
      <c r="D301" s="52"/>
      <c r="E301" s="20"/>
      <c r="F301" s="20"/>
      <c r="G301" s="20"/>
      <c r="H301" s="20"/>
      <c r="I301" s="20"/>
      <c r="J301" s="20"/>
      <c r="K301" s="20"/>
      <c r="L301" s="19"/>
      <c r="M301" s="47"/>
      <c r="N301" s="20"/>
    </row>
    <row r="302" ht="22.5" customHeight="1">
      <c r="A302" s="20"/>
      <c r="B302" s="20"/>
      <c r="C302" s="20"/>
      <c r="D302" s="52"/>
      <c r="E302" s="20"/>
      <c r="F302" s="20"/>
      <c r="G302" s="20"/>
      <c r="H302" s="20"/>
      <c r="I302" s="20"/>
      <c r="J302" s="20"/>
      <c r="K302" s="20"/>
      <c r="L302" s="19"/>
      <c r="M302" s="47"/>
      <c r="N302" s="20"/>
    </row>
    <row r="303" ht="22.5" customHeight="1">
      <c r="A303" s="20"/>
      <c r="B303" s="20"/>
      <c r="C303" s="20"/>
      <c r="D303" s="52"/>
      <c r="E303" s="20"/>
      <c r="F303" s="20"/>
      <c r="G303" s="20"/>
      <c r="H303" s="20"/>
      <c r="I303" s="20"/>
      <c r="J303" s="20"/>
      <c r="K303" s="20"/>
      <c r="L303" s="19"/>
      <c r="M303" s="47"/>
      <c r="N303" s="20"/>
    </row>
    <row r="304" ht="22.5" customHeight="1">
      <c r="A304" s="20"/>
      <c r="B304" s="20"/>
      <c r="C304" s="20"/>
      <c r="D304" s="52"/>
      <c r="E304" s="20"/>
      <c r="F304" s="20"/>
      <c r="G304" s="20"/>
      <c r="H304" s="20"/>
      <c r="I304" s="20"/>
      <c r="J304" s="20"/>
      <c r="K304" s="20"/>
      <c r="L304" s="19"/>
      <c r="M304" s="47"/>
      <c r="N304" s="20"/>
    </row>
    <row r="305" ht="22.5" customHeight="1">
      <c r="A305" s="20"/>
      <c r="B305" s="20"/>
      <c r="C305" s="20"/>
      <c r="D305" s="52"/>
      <c r="E305" s="20"/>
      <c r="F305" s="20"/>
      <c r="G305" s="20"/>
      <c r="H305" s="20"/>
      <c r="I305" s="20"/>
      <c r="J305" s="20"/>
      <c r="K305" s="20"/>
      <c r="L305" s="19"/>
      <c r="M305" s="47"/>
      <c r="N305" s="20"/>
    </row>
    <row r="306" ht="22.5" customHeight="1">
      <c r="A306" s="20"/>
      <c r="B306" s="20"/>
      <c r="C306" s="20"/>
      <c r="D306" s="52"/>
      <c r="E306" s="20"/>
      <c r="F306" s="20"/>
      <c r="G306" s="20"/>
      <c r="H306" s="20"/>
      <c r="I306" s="20"/>
      <c r="J306" s="20"/>
      <c r="K306" s="20"/>
      <c r="L306" s="19"/>
      <c r="M306" s="47"/>
      <c r="N306" s="20"/>
    </row>
    <row r="307" ht="22.5" customHeight="1">
      <c r="A307" s="20"/>
      <c r="B307" s="20"/>
      <c r="C307" s="20"/>
      <c r="D307" s="52"/>
      <c r="E307" s="20"/>
      <c r="F307" s="20"/>
      <c r="G307" s="20"/>
      <c r="H307" s="20"/>
      <c r="I307" s="20"/>
      <c r="J307" s="20"/>
      <c r="K307" s="20"/>
      <c r="L307" s="19"/>
      <c r="M307" s="47"/>
      <c r="N307" s="20"/>
    </row>
    <row r="308" ht="22.5" customHeight="1">
      <c r="A308" s="20"/>
      <c r="B308" s="20"/>
      <c r="C308" s="20"/>
      <c r="D308" s="52"/>
      <c r="E308" s="20"/>
      <c r="F308" s="20"/>
      <c r="G308" s="20"/>
      <c r="H308" s="20"/>
      <c r="I308" s="20"/>
      <c r="J308" s="20"/>
      <c r="K308" s="20"/>
      <c r="L308" s="19"/>
      <c r="M308" s="47"/>
      <c r="N308" s="20"/>
    </row>
    <row r="309" ht="22.5" customHeight="1">
      <c r="A309" s="20"/>
      <c r="B309" s="20"/>
      <c r="C309" s="20"/>
      <c r="D309" s="52"/>
      <c r="E309" s="20"/>
      <c r="F309" s="20"/>
      <c r="G309" s="20"/>
      <c r="H309" s="20"/>
      <c r="I309" s="20"/>
      <c r="J309" s="20"/>
      <c r="K309" s="20"/>
      <c r="L309" s="19"/>
      <c r="M309" s="47"/>
      <c r="N309" s="20"/>
    </row>
    <row r="310" ht="22.5" customHeight="1">
      <c r="A310" s="20"/>
      <c r="B310" s="20"/>
      <c r="C310" s="20"/>
      <c r="D310" s="52"/>
      <c r="E310" s="20"/>
      <c r="F310" s="20"/>
      <c r="G310" s="20"/>
      <c r="H310" s="20"/>
      <c r="I310" s="20"/>
      <c r="J310" s="20"/>
      <c r="K310" s="20"/>
      <c r="L310" s="19"/>
      <c r="M310" s="47"/>
      <c r="N310" s="20"/>
    </row>
    <row r="311" ht="22.5" customHeight="1">
      <c r="A311" s="20"/>
      <c r="B311" s="20"/>
      <c r="C311" s="20"/>
      <c r="D311" s="52"/>
      <c r="E311" s="20"/>
      <c r="F311" s="20"/>
      <c r="G311" s="20"/>
      <c r="H311" s="20"/>
      <c r="I311" s="20"/>
      <c r="J311" s="20"/>
      <c r="K311" s="20"/>
      <c r="L311" s="19"/>
      <c r="M311" s="47"/>
      <c r="N311" s="20"/>
    </row>
    <row r="312" ht="22.5" customHeight="1">
      <c r="A312" s="20"/>
      <c r="B312" s="20"/>
      <c r="C312" s="20"/>
      <c r="D312" s="52"/>
      <c r="E312" s="20"/>
      <c r="F312" s="20"/>
      <c r="G312" s="20"/>
      <c r="H312" s="20"/>
      <c r="I312" s="20"/>
      <c r="J312" s="20"/>
      <c r="K312" s="20"/>
      <c r="L312" s="19"/>
      <c r="M312" s="47"/>
      <c r="N312" s="20"/>
    </row>
    <row r="313" ht="22.5" customHeight="1">
      <c r="A313" s="20"/>
      <c r="B313" s="20"/>
      <c r="C313" s="20"/>
      <c r="D313" s="52"/>
      <c r="E313" s="20"/>
      <c r="F313" s="20"/>
      <c r="G313" s="20"/>
      <c r="H313" s="20"/>
      <c r="I313" s="20"/>
      <c r="J313" s="20"/>
      <c r="K313" s="20"/>
      <c r="L313" s="19"/>
      <c r="M313" s="47"/>
      <c r="N313" s="20"/>
    </row>
    <row r="314" ht="22.5" customHeight="1">
      <c r="A314" s="20"/>
      <c r="B314" s="20"/>
      <c r="C314" s="20"/>
      <c r="D314" s="52"/>
      <c r="E314" s="20"/>
      <c r="F314" s="20"/>
      <c r="G314" s="20"/>
      <c r="H314" s="20"/>
      <c r="I314" s="20"/>
      <c r="J314" s="20"/>
      <c r="K314" s="20"/>
      <c r="L314" s="19"/>
      <c r="M314" s="47"/>
      <c r="N314" s="20"/>
    </row>
    <row r="315" ht="22.5" customHeight="1">
      <c r="A315" s="20"/>
      <c r="B315" s="20"/>
      <c r="C315" s="20"/>
      <c r="D315" s="52"/>
      <c r="E315" s="20"/>
      <c r="F315" s="20"/>
      <c r="G315" s="20"/>
      <c r="H315" s="20"/>
      <c r="I315" s="20"/>
      <c r="J315" s="20"/>
      <c r="K315" s="20"/>
      <c r="L315" s="19"/>
      <c r="M315" s="47"/>
      <c r="N315" s="20"/>
    </row>
    <row r="316" ht="22.5" customHeight="1">
      <c r="A316" s="20"/>
      <c r="B316" s="20"/>
      <c r="C316" s="20"/>
      <c r="D316" s="52"/>
      <c r="E316" s="20"/>
      <c r="F316" s="20"/>
      <c r="G316" s="20"/>
      <c r="H316" s="20"/>
      <c r="I316" s="20"/>
      <c r="J316" s="20"/>
      <c r="K316" s="20"/>
      <c r="L316" s="19"/>
      <c r="M316" s="47"/>
      <c r="N316" s="20"/>
    </row>
    <row r="317" ht="22.5" customHeight="1">
      <c r="A317" s="20"/>
      <c r="B317" s="20"/>
      <c r="C317" s="20"/>
      <c r="D317" s="52"/>
      <c r="E317" s="20"/>
      <c r="F317" s="20"/>
      <c r="G317" s="20"/>
      <c r="H317" s="20"/>
      <c r="I317" s="20"/>
      <c r="J317" s="20"/>
      <c r="K317" s="20"/>
      <c r="L317" s="19"/>
      <c r="M317" s="47"/>
      <c r="N317" s="20"/>
    </row>
    <row r="318" ht="22.5" customHeight="1">
      <c r="A318" s="20"/>
      <c r="B318" s="20"/>
      <c r="C318" s="20"/>
      <c r="D318" s="52"/>
      <c r="E318" s="20"/>
      <c r="F318" s="20"/>
      <c r="G318" s="20"/>
      <c r="H318" s="20"/>
      <c r="I318" s="20"/>
      <c r="J318" s="20"/>
      <c r="K318" s="20"/>
      <c r="L318" s="19"/>
      <c r="M318" s="47"/>
      <c r="N318" s="20"/>
    </row>
    <row r="319" ht="22.5" customHeight="1">
      <c r="A319" s="20"/>
      <c r="B319" s="20"/>
      <c r="C319" s="20"/>
      <c r="D319" s="52"/>
      <c r="E319" s="20"/>
      <c r="F319" s="20"/>
      <c r="G319" s="20"/>
      <c r="H319" s="20"/>
      <c r="I319" s="20"/>
      <c r="J319" s="20"/>
      <c r="K319" s="20"/>
      <c r="L319" s="19"/>
      <c r="M319" s="47"/>
      <c r="N319" s="20"/>
    </row>
    <row r="320" ht="22.5" customHeight="1">
      <c r="A320" s="20"/>
      <c r="B320" s="20"/>
      <c r="C320" s="20"/>
      <c r="D320" s="52"/>
      <c r="E320" s="20"/>
      <c r="F320" s="20"/>
      <c r="G320" s="20"/>
      <c r="H320" s="20"/>
      <c r="I320" s="20"/>
      <c r="J320" s="20"/>
      <c r="K320" s="20"/>
      <c r="L320" s="19"/>
      <c r="M320" s="47"/>
      <c r="N320" s="20"/>
    </row>
    <row r="321" ht="22.5" customHeight="1">
      <c r="A321" s="20"/>
      <c r="B321" s="20"/>
      <c r="C321" s="20"/>
      <c r="D321" s="52"/>
      <c r="E321" s="20"/>
      <c r="F321" s="20"/>
      <c r="G321" s="20"/>
      <c r="H321" s="20"/>
      <c r="I321" s="20"/>
      <c r="J321" s="20"/>
      <c r="K321" s="20"/>
      <c r="L321" s="19"/>
      <c r="M321" s="47"/>
      <c r="N321" s="20"/>
    </row>
    <row r="322" ht="22.5" customHeight="1">
      <c r="A322" s="20"/>
      <c r="B322" s="20"/>
      <c r="C322" s="20"/>
      <c r="D322" s="52"/>
      <c r="E322" s="20"/>
      <c r="F322" s="20"/>
      <c r="G322" s="20"/>
      <c r="H322" s="20"/>
      <c r="I322" s="20"/>
      <c r="J322" s="20"/>
      <c r="K322" s="20"/>
      <c r="L322" s="19"/>
      <c r="M322" s="47"/>
      <c r="N322" s="20"/>
    </row>
    <row r="323" ht="22.5" customHeight="1">
      <c r="A323" s="20"/>
      <c r="B323" s="20"/>
      <c r="C323" s="20"/>
      <c r="D323" s="52"/>
      <c r="E323" s="20"/>
      <c r="F323" s="20"/>
      <c r="G323" s="20"/>
      <c r="H323" s="20"/>
      <c r="I323" s="20"/>
      <c r="J323" s="20"/>
      <c r="K323" s="20"/>
      <c r="L323" s="19"/>
      <c r="M323" s="47"/>
      <c r="N323" s="20"/>
    </row>
    <row r="324" ht="22.5" customHeight="1">
      <c r="A324" s="20"/>
      <c r="B324" s="20"/>
      <c r="C324" s="20"/>
      <c r="D324" s="52"/>
      <c r="E324" s="20"/>
      <c r="F324" s="20"/>
      <c r="G324" s="20"/>
      <c r="H324" s="20"/>
      <c r="I324" s="20"/>
      <c r="J324" s="20"/>
      <c r="K324" s="20"/>
      <c r="L324" s="19"/>
      <c r="M324" s="47"/>
      <c r="N324" s="20"/>
    </row>
    <row r="325" ht="22.5" customHeight="1">
      <c r="A325" s="20"/>
      <c r="B325" s="20"/>
      <c r="C325" s="20"/>
      <c r="D325" s="52"/>
      <c r="E325" s="20"/>
      <c r="F325" s="20"/>
      <c r="G325" s="20"/>
      <c r="H325" s="20"/>
      <c r="I325" s="20"/>
      <c r="J325" s="20"/>
      <c r="K325" s="20"/>
      <c r="L325" s="19"/>
      <c r="M325" s="47"/>
      <c r="N325" s="20"/>
    </row>
    <row r="326" ht="22.5" customHeight="1">
      <c r="A326" s="20"/>
      <c r="B326" s="20"/>
      <c r="C326" s="20"/>
      <c r="D326" s="52"/>
      <c r="E326" s="20"/>
      <c r="F326" s="20"/>
      <c r="G326" s="20"/>
      <c r="H326" s="20"/>
      <c r="I326" s="20"/>
      <c r="J326" s="20"/>
      <c r="K326" s="20"/>
      <c r="L326" s="19"/>
      <c r="M326" s="47"/>
      <c r="N326" s="20"/>
    </row>
    <row r="327" ht="22.5" customHeight="1">
      <c r="A327" s="20"/>
      <c r="B327" s="20"/>
      <c r="C327" s="20"/>
      <c r="D327" s="52"/>
      <c r="E327" s="20"/>
      <c r="F327" s="20"/>
      <c r="G327" s="20"/>
      <c r="H327" s="20"/>
      <c r="I327" s="20"/>
      <c r="J327" s="20"/>
      <c r="K327" s="20"/>
      <c r="L327" s="19"/>
      <c r="M327" s="47"/>
      <c r="N327" s="20"/>
    </row>
    <row r="328" ht="22.5" customHeight="1">
      <c r="A328" s="20"/>
      <c r="B328" s="20"/>
      <c r="C328" s="20"/>
      <c r="D328" s="52"/>
      <c r="E328" s="20"/>
      <c r="F328" s="20"/>
      <c r="G328" s="20"/>
      <c r="H328" s="20"/>
      <c r="I328" s="20"/>
      <c r="J328" s="20"/>
      <c r="K328" s="20"/>
      <c r="L328" s="19"/>
      <c r="M328" s="47"/>
      <c r="N328" s="20"/>
    </row>
    <row r="329" ht="22.5" customHeight="1">
      <c r="A329" s="20"/>
      <c r="B329" s="20"/>
      <c r="C329" s="20"/>
      <c r="D329" s="52"/>
      <c r="E329" s="20"/>
      <c r="F329" s="20"/>
      <c r="G329" s="20"/>
      <c r="H329" s="20"/>
      <c r="I329" s="20"/>
      <c r="J329" s="20"/>
      <c r="K329" s="20"/>
      <c r="L329" s="19"/>
      <c r="M329" s="47"/>
      <c r="N329" s="20"/>
    </row>
    <row r="330" ht="22.5" customHeight="1">
      <c r="A330" s="20"/>
      <c r="B330" s="20"/>
      <c r="C330" s="20"/>
      <c r="D330" s="52"/>
      <c r="E330" s="20"/>
      <c r="F330" s="20"/>
      <c r="G330" s="20"/>
      <c r="H330" s="20"/>
      <c r="I330" s="20"/>
      <c r="J330" s="20"/>
      <c r="K330" s="20"/>
      <c r="L330" s="19"/>
      <c r="M330" s="47"/>
      <c r="N330" s="20"/>
    </row>
    <row r="331" ht="22.5" customHeight="1">
      <c r="A331" s="20"/>
      <c r="B331" s="20"/>
      <c r="C331" s="20"/>
      <c r="D331" s="52"/>
      <c r="E331" s="20"/>
      <c r="F331" s="20"/>
      <c r="G331" s="20"/>
      <c r="H331" s="20"/>
      <c r="I331" s="20"/>
      <c r="J331" s="20"/>
      <c r="K331" s="20"/>
      <c r="L331" s="19"/>
      <c r="M331" s="47"/>
      <c r="N331" s="20"/>
    </row>
    <row r="332" ht="22.5" customHeight="1">
      <c r="A332" s="20"/>
      <c r="B332" s="20"/>
      <c r="C332" s="20"/>
      <c r="D332" s="52"/>
      <c r="E332" s="20"/>
      <c r="F332" s="20"/>
      <c r="G332" s="20"/>
      <c r="H332" s="20"/>
      <c r="I332" s="20"/>
      <c r="J332" s="20"/>
      <c r="K332" s="20"/>
      <c r="L332" s="19"/>
      <c r="M332" s="47"/>
      <c r="N332" s="20"/>
    </row>
    <row r="333" ht="22.5" customHeight="1">
      <c r="A333" s="20"/>
      <c r="B333" s="20"/>
      <c r="C333" s="20"/>
      <c r="D333" s="52"/>
      <c r="E333" s="20"/>
      <c r="F333" s="20"/>
      <c r="G333" s="20"/>
      <c r="H333" s="20"/>
      <c r="I333" s="20"/>
      <c r="J333" s="20"/>
      <c r="K333" s="20"/>
      <c r="L333" s="19"/>
      <c r="M333" s="47"/>
      <c r="N333" s="20"/>
    </row>
    <row r="334" ht="22.5" customHeight="1">
      <c r="A334" s="20"/>
      <c r="B334" s="20"/>
      <c r="C334" s="20"/>
      <c r="D334" s="52"/>
      <c r="E334" s="20"/>
      <c r="F334" s="20"/>
      <c r="G334" s="20"/>
      <c r="H334" s="20"/>
      <c r="I334" s="20"/>
      <c r="J334" s="20"/>
      <c r="K334" s="20"/>
      <c r="L334" s="19"/>
      <c r="M334" s="47"/>
      <c r="N334" s="20"/>
    </row>
    <row r="335" ht="22.5" customHeight="1">
      <c r="A335" s="20"/>
      <c r="B335" s="20"/>
      <c r="C335" s="20"/>
      <c r="D335" s="52"/>
      <c r="E335" s="20"/>
      <c r="F335" s="20"/>
      <c r="G335" s="20"/>
      <c r="H335" s="20"/>
      <c r="I335" s="20"/>
      <c r="J335" s="20"/>
      <c r="K335" s="20"/>
      <c r="L335" s="19"/>
      <c r="M335" s="47"/>
      <c r="N335" s="20"/>
    </row>
    <row r="336" ht="22.5" customHeight="1">
      <c r="A336" s="20"/>
      <c r="B336" s="20"/>
      <c r="C336" s="20"/>
      <c r="D336" s="52"/>
      <c r="E336" s="20"/>
      <c r="F336" s="20"/>
      <c r="G336" s="20"/>
      <c r="H336" s="20"/>
      <c r="I336" s="20"/>
      <c r="J336" s="20"/>
      <c r="K336" s="20"/>
      <c r="L336" s="19"/>
      <c r="M336" s="47"/>
      <c r="N336" s="20"/>
    </row>
    <row r="337" ht="22.5" customHeight="1">
      <c r="A337" s="20"/>
      <c r="B337" s="20"/>
      <c r="C337" s="20"/>
      <c r="D337" s="52"/>
      <c r="E337" s="20"/>
      <c r="F337" s="20"/>
      <c r="G337" s="20"/>
      <c r="H337" s="20"/>
      <c r="I337" s="20"/>
      <c r="J337" s="20"/>
      <c r="K337" s="20"/>
      <c r="L337" s="19"/>
      <c r="M337" s="47"/>
      <c r="N337" s="20"/>
    </row>
    <row r="338" ht="22.5" customHeight="1">
      <c r="A338" s="20"/>
      <c r="B338" s="20"/>
      <c r="C338" s="20"/>
      <c r="D338" s="52"/>
      <c r="E338" s="20"/>
      <c r="F338" s="20"/>
      <c r="G338" s="20"/>
      <c r="H338" s="20"/>
      <c r="I338" s="20"/>
      <c r="J338" s="20"/>
      <c r="K338" s="20"/>
      <c r="L338" s="19"/>
      <c r="M338" s="47"/>
      <c r="N338" s="20"/>
    </row>
    <row r="339" ht="22.5" customHeight="1">
      <c r="A339" s="20"/>
      <c r="B339" s="20"/>
      <c r="C339" s="20"/>
      <c r="D339" s="52"/>
      <c r="E339" s="20"/>
      <c r="F339" s="20"/>
      <c r="G339" s="20"/>
      <c r="H339" s="20"/>
      <c r="I339" s="20"/>
      <c r="J339" s="20"/>
      <c r="K339" s="20"/>
      <c r="L339" s="19"/>
      <c r="M339" s="47"/>
      <c r="N339" s="20"/>
    </row>
    <row r="340" ht="22.5" customHeight="1">
      <c r="A340" s="20"/>
      <c r="B340" s="20"/>
      <c r="C340" s="20"/>
      <c r="D340" s="52"/>
      <c r="E340" s="20"/>
      <c r="F340" s="20"/>
      <c r="G340" s="20"/>
      <c r="H340" s="20"/>
      <c r="I340" s="20"/>
      <c r="J340" s="20"/>
      <c r="K340" s="20"/>
      <c r="L340" s="19"/>
      <c r="M340" s="47"/>
      <c r="N340" s="20"/>
    </row>
    <row r="341" ht="22.5" customHeight="1">
      <c r="A341" s="20"/>
      <c r="B341" s="20"/>
      <c r="C341" s="20"/>
      <c r="D341" s="52"/>
      <c r="E341" s="20"/>
      <c r="F341" s="20"/>
      <c r="G341" s="20"/>
      <c r="H341" s="20"/>
      <c r="I341" s="20"/>
      <c r="J341" s="20"/>
      <c r="K341" s="20"/>
      <c r="L341" s="19"/>
      <c r="M341" s="47"/>
      <c r="N341" s="20"/>
    </row>
    <row r="342" ht="22.5" customHeight="1">
      <c r="A342" s="20"/>
      <c r="B342" s="20"/>
      <c r="C342" s="20"/>
      <c r="D342" s="52"/>
      <c r="E342" s="20"/>
      <c r="F342" s="20"/>
      <c r="G342" s="20"/>
      <c r="H342" s="20"/>
      <c r="I342" s="20"/>
      <c r="J342" s="20"/>
      <c r="K342" s="20"/>
      <c r="L342" s="19"/>
      <c r="M342" s="47"/>
      <c r="N342" s="20"/>
    </row>
    <row r="343" ht="22.5" customHeight="1">
      <c r="A343" s="20"/>
      <c r="B343" s="20"/>
      <c r="C343" s="20"/>
      <c r="D343" s="52"/>
      <c r="E343" s="20"/>
      <c r="F343" s="20"/>
      <c r="G343" s="20"/>
      <c r="H343" s="20"/>
      <c r="I343" s="20"/>
      <c r="J343" s="20"/>
      <c r="K343" s="20"/>
      <c r="L343" s="19"/>
      <c r="M343" s="47"/>
      <c r="N343" s="20"/>
    </row>
    <row r="344" ht="22.5" customHeight="1">
      <c r="A344" s="20"/>
      <c r="B344" s="20"/>
      <c r="C344" s="20"/>
      <c r="D344" s="52"/>
      <c r="E344" s="20"/>
      <c r="F344" s="20"/>
      <c r="G344" s="20"/>
      <c r="H344" s="20"/>
      <c r="I344" s="20"/>
      <c r="J344" s="20"/>
      <c r="K344" s="20"/>
      <c r="L344" s="19"/>
      <c r="M344" s="47"/>
      <c r="N344" s="20"/>
    </row>
    <row r="345" ht="22.5" customHeight="1">
      <c r="A345" s="20"/>
      <c r="B345" s="20"/>
      <c r="C345" s="20"/>
      <c r="D345" s="52"/>
      <c r="E345" s="20"/>
      <c r="F345" s="20"/>
      <c r="G345" s="20"/>
      <c r="H345" s="20"/>
      <c r="I345" s="20"/>
      <c r="J345" s="20"/>
      <c r="K345" s="20"/>
      <c r="L345" s="19"/>
      <c r="M345" s="47"/>
      <c r="N345" s="20"/>
    </row>
    <row r="346" ht="22.5" customHeight="1">
      <c r="A346" s="20"/>
      <c r="B346" s="20"/>
      <c r="C346" s="20"/>
      <c r="D346" s="52"/>
      <c r="E346" s="20"/>
      <c r="F346" s="20"/>
      <c r="G346" s="20"/>
      <c r="H346" s="20"/>
      <c r="I346" s="20"/>
      <c r="J346" s="20"/>
      <c r="K346" s="20"/>
      <c r="L346" s="19"/>
      <c r="M346" s="47"/>
      <c r="N346" s="20"/>
    </row>
    <row r="347" ht="22.5" customHeight="1">
      <c r="A347" s="20"/>
      <c r="B347" s="20"/>
      <c r="C347" s="20"/>
      <c r="D347" s="52"/>
      <c r="E347" s="20"/>
      <c r="F347" s="20"/>
      <c r="G347" s="20"/>
      <c r="H347" s="20"/>
      <c r="I347" s="20"/>
      <c r="J347" s="20"/>
      <c r="K347" s="20"/>
      <c r="L347" s="19"/>
      <c r="M347" s="47"/>
      <c r="N347" s="20"/>
    </row>
    <row r="348" ht="22.5" customHeight="1">
      <c r="A348" s="20"/>
      <c r="B348" s="20"/>
      <c r="C348" s="20"/>
      <c r="D348" s="52"/>
      <c r="E348" s="20"/>
      <c r="F348" s="20"/>
      <c r="G348" s="20"/>
      <c r="H348" s="20"/>
      <c r="I348" s="20"/>
      <c r="J348" s="20"/>
      <c r="K348" s="20"/>
      <c r="L348" s="19"/>
      <c r="M348" s="47"/>
      <c r="N348" s="20"/>
    </row>
    <row r="349" ht="22.5" customHeight="1">
      <c r="A349" s="20"/>
      <c r="B349" s="20"/>
      <c r="C349" s="20"/>
      <c r="D349" s="52"/>
      <c r="E349" s="20"/>
      <c r="F349" s="20"/>
      <c r="G349" s="20"/>
      <c r="H349" s="20"/>
      <c r="I349" s="20"/>
      <c r="J349" s="20"/>
      <c r="K349" s="20"/>
      <c r="L349" s="19"/>
      <c r="M349" s="47"/>
      <c r="N349" s="20"/>
    </row>
    <row r="350" ht="22.5" customHeight="1">
      <c r="A350" s="20"/>
      <c r="B350" s="20"/>
      <c r="C350" s="20"/>
      <c r="D350" s="52"/>
      <c r="E350" s="20"/>
      <c r="F350" s="20"/>
      <c r="G350" s="20"/>
      <c r="H350" s="20"/>
      <c r="I350" s="20"/>
      <c r="J350" s="20"/>
      <c r="K350" s="20"/>
      <c r="L350" s="19"/>
      <c r="M350" s="47"/>
      <c r="N350" s="20"/>
    </row>
    <row r="351" ht="22.5" customHeight="1">
      <c r="A351" s="20"/>
      <c r="B351" s="20"/>
      <c r="C351" s="20"/>
      <c r="D351" s="52"/>
      <c r="E351" s="20"/>
      <c r="F351" s="20"/>
      <c r="G351" s="20"/>
      <c r="H351" s="20"/>
      <c r="I351" s="20"/>
      <c r="J351" s="20"/>
      <c r="K351" s="20"/>
      <c r="L351" s="19"/>
      <c r="M351" s="47"/>
      <c r="N351" s="20"/>
    </row>
    <row r="352" ht="22.5" customHeight="1">
      <c r="A352" s="20"/>
      <c r="B352" s="20"/>
      <c r="C352" s="20"/>
      <c r="D352" s="52"/>
      <c r="E352" s="20"/>
      <c r="F352" s="20"/>
      <c r="G352" s="20"/>
      <c r="H352" s="20"/>
      <c r="I352" s="20"/>
      <c r="J352" s="20"/>
      <c r="K352" s="20"/>
      <c r="L352" s="19"/>
      <c r="M352" s="47"/>
      <c r="N352" s="20"/>
    </row>
    <row r="353" ht="22.5" customHeight="1">
      <c r="A353" s="20"/>
      <c r="B353" s="20"/>
      <c r="C353" s="20"/>
      <c r="D353" s="52"/>
      <c r="E353" s="20"/>
      <c r="F353" s="20"/>
      <c r="G353" s="20"/>
      <c r="H353" s="20"/>
      <c r="I353" s="20"/>
      <c r="J353" s="20"/>
      <c r="K353" s="20"/>
      <c r="L353" s="19"/>
      <c r="M353" s="47"/>
      <c r="N353" s="20"/>
    </row>
    <row r="354" ht="22.5" customHeight="1">
      <c r="A354" s="20"/>
      <c r="B354" s="20"/>
      <c r="C354" s="20"/>
      <c r="D354" s="52"/>
      <c r="E354" s="20"/>
      <c r="F354" s="20"/>
      <c r="G354" s="20"/>
      <c r="H354" s="20"/>
      <c r="I354" s="20"/>
      <c r="J354" s="20"/>
      <c r="K354" s="20"/>
      <c r="L354" s="19"/>
      <c r="M354" s="47"/>
      <c r="N354" s="20"/>
    </row>
    <row r="355" ht="22.5" customHeight="1">
      <c r="A355" s="20"/>
      <c r="B355" s="20"/>
      <c r="C355" s="20"/>
      <c r="D355" s="52"/>
      <c r="E355" s="20"/>
      <c r="F355" s="20"/>
      <c r="G355" s="20"/>
      <c r="H355" s="20"/>
      <c r="I355" s="20"/>
      <c r="J355" s="20"/>
      <c r="K355" s="20"/>
      <c r="L355" s="19"/>
      <c r="M355" s="47"/>
      <c r="N355" s="20"/>
    </row>
    <row r="356" ht="22.5" customHeight="1">
      <c r="A356" s="20"/>
      <c r="B356" s="20"/>
      <c r="C356" s="20"/>
      <c r="D356" s="52"/>
      <c r="E356" s="20"/>
      <c r="F356" s="20"/>
      <c r="G356" s="20"/>
      <c r="H356" s="20"/>
      <c r="I356" s="20"/>
      <c r="J356" s="20"/>
      <c r="K356" s="20"/>
      <c r="L356" s="19"/>
      <c r="M356" s="47"/>
      <c r="N356" s="20"/>
    </row>
    <row r="357" ht="22.5" customHeight="1">
      <c r="A357" s="20"/>
      <c r="B357" s="20"/>
      <c r="C357" s="20"/>
      <c r="D357" s="52"/>
      <c r="E357" s="20"/>
      <c r="F357" s="20"/>
      <c r="G357" s="20"/>
      <c r="H357" s="20"/>
      <c r="I357" s="20"/>
      <c r="J357" s="20"/>
      <c r="K357" s="20"/>
      <c r="L357" s="19"/>
      <c r="M357" s="47"/>
      <c r="N357" s="20"/>
    </row>
    <row r="358" ht="22.5" customHeight="1">
      <c r="A358" s="20"/>
      <c r="B358" s="20"/>
      <c r="C358" s="20"/>
      <c r="D358" s="52"/>
      <c r="E358" s="20"/>
      <c r="F358" s="20"/>
      <c r="G358" s="20"/>
      <c r="H358" s="20"/>
      <c r="I358" s="20"/>
      <c r="J358" s="20"/>
      <c r="K358" s="20"/>
      <c r="L358" s="19"/>
      <c r="M358" s="47"/>
      <c r="N358" s="20"/>
    </row>
    <row r="359" ht="22.5" customHeight="1">
      <c r="A359" s="20"/>
      <c r="B359" s="20"/>
      <c r="C359" s="20"/>
      <c r="D359" s="52"/>
      <c r="E359" s="20"/>
      <c r="F359" s="20"/>
      <c r="G359" s="20"/>
      <c r="H359" s="20"/>
      <c r="I359" s="20"/>
      <c r="J359" s="20"/>
      <c r="K359" s="20"/>
      <c r="L359" s="19"/>
      <c r="M359" s="47"/>
      <c r="N359" s="20"/>
    </row>
    <row r="360" ht="22.5" customHeight="1">
      <c r="A360" s="20"/>
      <c r="B360" s="20"/>
      <c r="C360" s="20"/>
      <c r="D360" s="52"/>
      <c r="E360" s="20"/>
      <c r="F360" s="20"/>
      <c r="G360" s="20"/>
      <c r="H360" s="20"/>
      <c r="I360" s="20"/>
      <c r="J360" s="20"/>
      <c r="K360" s="20"/>
      <c r="L360" s="19"/>
      <c r="M360" s="47"/>
      <c r="N360" s="20"/>
    </row>
    <row r="361" ht="22.5" customHeight="1">
      <c r="A361" s="20"/>
      <c r="B361" s="20"/>
      <c r="C361" s="20"/>
      <c r="D361" s="52"/>
      <c r="E361" s="20"/>
      <c r="F361" s="20"/>
      <c r="G361" s="20"/>
      <c r="H361" s="20"/>
      <c r="I361" s="20"/>
      <c r="J361" s="20"/>
      <c r="K361" s="20"/>
      <c r="L361" s="19"/>
      <c r="M361" s="47"/>
      <c r="N361" s="20"/>
    </row>
    <row r="362" ht="22.5" customHeight="1">
      <c r="A362" s="20"/>
      <c r="B362" s="20"/>
      <c r="C362" s="20"/>
      <c r="D362" s="52"/>
      <c r="E362" s="20"/>
      <c r="F362" s="20"/>
      <c r="G362" s="20"/>
      <c r="H362" s="20"/>
      <c r="I362" s="20"/>
      <c r="J362" s="20"/>
      <c r="K362" s="20"/>
      <c r="L362" s="19"/>
      <c r="M362" s="47"/>
      <c r="N362" s="20"/>
    </row>
    <row r="363" ht="22.5" customHeight="1">
      <c r="A363" s="20"/>
      <c r="B363" s="20"/>
      <c r="C363" s="20"/>
      <c r="D363" s="52"/>
      <c r="E363" s="20"/>
      <c r="F363" s="20"/>
      <c r="G363" s="20"/>
      <c r="H363" s="20"/>
      <c r="I363" s="20"/>
      <c r="J363" s="20"/>
      <c r="K363" s="20"/>
      <c r="L363" s="19"/>
      <c r="M363" s="47"/>
      <c r="N363" s="20"/>
    </row>
    <row r="364" ht="22.5" customHeight="1">
      <c r="A364" s="20"/>
      <c r="B364" s="20"/>
      <c r="C364" s="20"/>
      <c r="D364" s="52"/>
      <c r="E364" s="20"/>
      <c r="F364" s="20"/>
      <c r="G364" s="20"/>
      <c r="H364" s="20"/>
      <c r="I364" s="20"/>
      <c r="J364" s="20"/>
      <c r="K364" s="20"/>
      <c r="L364" s="19"/>
      <c r="M364" s="47"/>
      <c r="N364" s="20"/>
    </row>
    <row r="365" ht="22.5" customHeight="1">
      <c r="A365" s="20"/>
      <c r="B365" s="20"/>
      <c r="C365" s="20"/>
      <c r="D365" s="52"/>
      <c r="E365" s="20"/>
      <c r="F365" s="20"/>
      <c r="G365" s="20"/>
      <c r="H365" s="20"/>
      <c r="I365" s="20"/>
      <c r="J365" s="20"/>
      <c r="K365" s="20"/>
      <c r="L365" s="19"/>
      <c r="M365" s="47"/>
      <c r="N365" s="20"/>
    </row>
    <row r="366" ht="22.5" customHeight="1">
      <c r="A366" s="20"/>
      <c r="B366" s="20"/>
      <c r="C366" s="20"/>
      <c r="D366" s="52"/>
      <c r="E366" s="20"/>
      <c r="F366" s="20"/>
      <c r="G366" s="20"/>
      <c r="H366" s="20"/>
      <c r="I366" s="20"/>
      <c r="J366" s="20"/>
      <c r="K366" s="20"/>
      <c r="L366" s="19"/>
      <c r="M366" s="47"/>
      <c r="N366" s="20"/>
    </row>
    <row r="367" ht="22.5" customHeight="1">
      <c r="A367" s="20"/>
      <c r="B367" s="20"/>
      <c r="C367" s="20"/>
      <c r="D367" s="52"/>
      <c r="E367" s="20"/>
      <c r="F367" s="20"/>
      <c r="G367" s="20"/>
      <c r="H367" s="20"/>
      <c r="I367" s="20"/>
      <c r="J367" s="20"/>
      <c r="K367" s="20"/>
      <c r="L367" s="19"/>
      <c r="M367" s="47"/>
      <c r="N367" s="20"/>
    </row>
    <row r="368" ht="22.5" customHeight="1">
      <c r="A368" s="20"/>
      <c r="B368" s="20"/>
      <c r="C368" s="20"/>
      <c r="D368" s="52"/>
      <c r="E368" s="20"/>
      <c r="F368" s="20"/>
      <c r="G368" s="20"/>
      <c r="H368" s="20"/>
      <c r="I368" s="20"/>
      <c r="J368" s="20"/>
      <c r="K368" s="20"/>
      <c r="L368" s="19"/>
      <c r="M368" s="47"/>
      <c r="N368" s="20"/>
    </row>
    <row r="369" ht="22.5" customHeight="1">
      <c r="A369" s="20"/>
      <c r="B369" s="20"/>
      <c r="C369" s="20"/>
      <c r="D369" s="52"/>
      <c r="E369" s="20"/>
      <c r="F369" s="20"/>
      <c r="G369" s="20"/>
      <c r="H369" s="20"/>
      <c r="I369" s="20"/>
      <c r="J369" s="20"/>
      <c r="K369" s="20"/>
      <c r="L369" s="19"/>
      <c r="M369" s="47"/>
      <c r="N369" s="20"/>
    </row>
    <row r="370" ht="22.5" customHeight="1">
      <c r="A370" s="20"/>
      <c r="B370" s="20"/>
      <c r="C370" s="20"/>
      <c r="D370" s="52"/>
      <c r="E370" s="20"/>
      <c r="F370" s="20"/>
      <c r="G370" s="20"/>
      <c r="H370" s="20"/>
      <c r="I370" s="20"/>
      <c r="J370" s="20"/>
      <c r="K370" s="20"/>
      <c r="L370" s="19"/>
      <c r="M370" s="47"/>
      <c r="N370" s="20"/>
    </row>
    <row r="371" ht="22.5" customHeight="1">
      <c r="A371" s="20"/>
      <c r="B371" s="20"/>
      <c r="C371" s="20"/>
      <c r="D371" s="52"/>
      <c r="E371" s="20"/>
      <c r="F371" s="20"/>
      <c r="G371" s="20"/>
      <c r="H371" s="20"/>
      <c r="I371" s="20"/>
      <c r="J371" s="20"/>
      <c r="K371" s="20"/>
      <c r="L371" s="19"/>
      <c r="M371" s="47"/>
      <c r="N371" s="20"/>
    </row>
    <row r="372" ht="22.5" customHeight="1">
      <c r="A372" s="20"/>
      <c r="B372" s="20"/>
      <c r="C372" s="20"/>
      <c r="D372" s="52"/>
      <c r="E372" s="20"/>
      <c r="F372" s="20"/>
      <c r="G372" s="20"/>
      <c r="H372" s="20"/>
      <c r="I372" s="20"/>
      <c r="J372" s="20"/>
      <c r="K372" s="20"/>
      <c r="L372" s="19"/>
      <c r="M372" s="47"/>
      <c r="N372" s="20"/>
    </row>
    <row r="373" ht="22.5" customHeight="1">
      <c r="A373" s="20"/>
      <c r="B373" s="20"/>
      <c r="C373" s="20"/>
      <c r="D373" s="52"/>
      <c r="E373" s="20"/>
      <c r="F373" s="20"/>
      <c r="G373" s="20"/>
      <c r="H373" s="20"/>
      <c r="I373" s="20"/>
      <c r="J373" s="20"/>
      <c r="K373" s="20"/>
      <c r="L373" s="19"/>
      <c r="M373" s="47"/>
      <c r="N373" s="20"/>
    </row>
    <row r="374" ht="22.5" customHeight="1">
      <c r="A374" s="20"/>
      <c r="B374" s="20"/>
      <c r="C374" s="20"/>
      <c r="D374" s="52"/>
      <c r="E374" s="20"/>
      <c r="F374" s="20"/>
      <c r="G374" s="20"/>
      <c r="H374" s="20"/>
      <c r="I374" s="20"/>
      <c r="J374" s="20"/>
      <c r="K374" s="20"/>
      <c r="L374" s="19"/>
      <c r="M374" s="47"/>
      <c r="N374" s="20"/>
    </row>
    <row r="375" ht="22.5" customHeight="1">
      <c r="A375" s="20"/>
      <c r="B375" s="20"/>
      <c r="C375" s="20"/>
      <c r="D375" s="52"/>
      <c r="E375" s="20"/>
      <c r="F375" s="20"/>
      <c r="G375" s="20"/>
      <c r="H375" s="20"/>
      <c r="I375" s="20"/>
      <c r="J375" s="20"/>
      <c r="K375" s="20"/>
      <c r="L375" s="19"/>
      <c r="M375" s="47"/>
      <c r="N375" s="20"/>
    </row>
    <row r="376" ht="22.5" customHeight="1">
      <c r="A376" s="20"/>
      <c r="B376" s="20"/>
      <c r="C376" s="20"/>
      <c r="D376" s="52"/>
      <c r="E376" s="20"/>
      <c r="F376" s="20"/>
      <c r="G376" s="20"/>
      <c r="H376" s="20"/>
      <c r="I376" s="20"/>
      <c r="J376" s="20"/>
      <c r="K376" s="20"/>
      <c r="L376" s="19"/>
      <c r="M376" s="47"/>
      <c r="N376" s="20"/>
    </row>
    <row r="377" ht="22.5" customHeight="1">
      <c r="A377" s="20"/>
      <c r="B377" s="20"/>
      <c r="C377" s="20"/>
      <c r="D377" s="52"/>
      <c r="E377" s="20"/>
      <c r="F377" s="20"/>
      <c r="G377" s="20"/>
      <c r="H377" s="20"/>
      <c r="I377" s="20"/>
      <c r="J377" s="20"/>
      <c r="K377" s="20"/>
      <c r="L377" s="19"/>
      <c r="M377" s="47"/>
      <c r="N377" s="20"/>
    </row>
    <row r="378" ht="22.5" customHeight="1">
      <c r="A378" s="20"/>
      <c r="B378" s="20"/>
      <c r="C378" s="20"/>
      <c r="D378" s="52"/>
      <c r="E378" s="20"/>
      <c r="F378" s="20"/>
      <c r="G378" s="20"/>
      <c r="H378" s="20"/>
      <c r="I378" s="20"/>
      <c r="J378" s="20"/>
      <c r="K378" s="20"/>
      <c r="L378" s="19"/>
      <c r="M378" s="47"/>
      <c r="N378" s="20"/>
    </row>
    <row r="379" ht="22.5" customHeight="1">
      <c r="A379" s="20"/>
      <c r="B379" s="20"/>
      <c r="C379" s="20"/>
      <c r="D379" s="52"/>
      <c r="E379" s="20"/>
      <c r="F379" s="20"/>
      <c r="G379" s="20"/>
      <c r="H379" s="20"/>
      <c r="I379" s="20"/>
      <c r="J379" s="20"/>
      <c r="K379" s="20"/>
      <c r="L379" s="19"/>
      <c r="M379" s="47"/>
      <c r="N379" s="20"/>
    </row>
    <row r="380" ht="22.5" customHeight="1">
      <c r="A380" s="20"/>
      <c r="B380" s="20"/>
      <c r="C380" s="20"/>
      <c r="D380" s="52"/>
      <c r="E380" s="20"/>
      <c r="F380" s="20"/>
      <c r="G380" s="20"/>
      <c r="H380" s="20"/>
      <c r="I380" s="20"/>
      <c r="J380" s="20"/>
      <c r="K380" s="20"/>
      <c r="L380" s="19"/>
      <c r="M380" s="47"/>
      <c r="N380" s="20"/>
    </row>
    <row r="381" ht="22.5" customHeight="1">
      <c r="A381" s="20"/>
      <c r="B381" s="20"/>
      <c r="C381" s="20"/>
      <c r="D381" s="52"/>
      <c r="E381" s="20"/>
      <c r="F381" s="20"/>
      <c r="G381" s="20"/>
      <c r="H381" s="20"/>
      <c r="I381" s="20"/>
      <c r="J381" s="20"/>
      <c r="K381" s="20"/>
      <c r="L381" s="19"/>
      <c r="M381" s="47"/>
      <c r="N381" s="20"/>
    </row>
    <row r="382" ht="22.5" customHeight="1">
      <c r="A382" s="20"/>
      <c r="B382" s="20"/>
      <c r="C382" s="20"/>
      <c r="D382" s="52"/>
      <c r="E382" s="20"/>
      <c r="F382" s="20"/>
      <c r="G382" s="20"/>
      <c r="H382" s="20"/>
      <c r="I382" s="20"/>
      <c r="J382" s="20"/>
      <c r="K382" s="20"/>
      <c r="L382" s="19"/>
      <c r="M382" s="47"/>
      <c r="N382" s="20"/>
    </row>
    <row r="383" ht="22.5" customHeight="1">
      <c r="A383" s="20"/>
      <c r="B383" s="20"/>
      <c r="C383" s="20"/>
      <c r="D383" s="52"/>
      <c r="E383" s="20"/>
      <c r="F383" s="20"/>
      <c r="G383" s="20"/>
      <c r="H383" s="20"/>
      <c r="I383" s="20"/>
      <c r="J383" s="20"/>
      <c r="K383" s="20"/>
      <c r="L383" s="19"/>
      <c r="M383" s="47"/>
      <c r="N383" s="20"/>
    </row>
    <row r="384" ht="22.5" customHeight="1">
      <c r="A384" s="20"/>
      <c r="B384" s="20"/>
      <c r="C384" s="20"/>
      <c r="D384" s="52"/>
      <c r="E384" s="20"/>
      <c r="F384" s="20"/>
      <c r="G384" s="20"/>
      <c r="H384" s="20"/>
      <c r="I384" s="20"/>
      <c r="J384" s="20"/>
      <c r="K384" s="20"/>
      <c r="L384" s="19"/>
      <c r="M384" s="47"/>
      <c r="N384" s="20"/>
    </row>
    <row r="385" ht="22.5" customHeight="1">
      <c r="A385" s="20"/>
      <c r="B385" s="20"/>
      <c r="C385" s="20"/>
      <c r="D385" s="52"/>
      <c r="E385" s="20"/>
      <c r="F385" s="20"/>
      <c r="G385" s="20"/>
      <c r="H385" s="20"/>
      <c r="I385" s="20"/>
      <c r="J385" s="20"/>
      <c r="K385" s="20"/>
      <c r="L385" s="19"/>
      <c r="M385" s="47"/>
      <c r="N385" s="20"/>
    </row>
    <row r="386" ht="22.5" customHeight="1">
      <c r="A386" s="20"/>
      <c r="B386" s="20"/>
      <c r="C386" s="20"/>
      <c r="D386" s="52"/>
      <c r="E386" s="20"/>
      <c r="F386" s="20"/>
      <c r="G386" s="20"/>
      <c r="H386" s="20"/>
      <c r="I386" s="20"/>
      <c r="J386" s="20"/>
      <c r="K386" s="20"/>
      <c r="L386" s="19"/>
      <c r="M386" s="47"/>
      <c r="N386" s="20"/>
    </row>
    <row r="387" ht="22.5" customHeight="1">
      <c r="A387" s="20"/>
      <c r="B387" s="20"/>
      <c r="C387" s="20"/>
      <c r="D387" s="52"/>
      <c r="E387" s="20"/>
      <c r="F387" s="20"/>
      <c r="G387" s="20"/>
      <c r="H387" s="20"/>
      <c r="I387" s="20"/>
      <c r="J387" s="20"/>
      <c r="K387" s="20"/>
      <c r="L387" s="19"/>
      <c r="M387" s="47"/>
      <c r="N387" s="20"/>
    </row>
    <row r="388" ht="22.5" customHeight="1">
      <c r="A388" s="20"/>
      <c r="B388" s="20"/>
      <c r="C388" s="20"/>
      <c r="D388" s="52"/>
      <c r="E388" s="20"/>
      <c r="F388" s="20"/>
      <c r="G388" s="20"/>
      <c r="H388" s="20"/>
      <c r="I388" s="20"/>
      <c r="J388" s="20"/>
      <c r="K388" s="20"/>
      <c r="L388" s="19"/>
      <c r="M388" s="47"/>
      <c r="N388" s="20"/>
    </row>
    <row r="389" ht="22.5" customHeight="1">
      <c r="A389" s="20"/>
      <c r="B389" s="20"/>
      <c r="C389" s="20"/>
      <c r="D389" s="52"/>
      <c r="E389" s="20"/>
      <c r="F389" s="20"/>
      <c r="G389" s="20"/>
      <c r="H389" s="20"/>
      <c r="I389" s="20"/>
      <c r="J389" s="20"/>
      <c r="K389" s="20"/>
      <c r="L389" s="19"/>
      <c r="M389" s="47"/>
      <c r="N389" s="20"/>
    </row>
    <row r="390" ht="22.5" customHeight="1">
      <c r="A390" s="20"/>
      <c r="B390" s="20"/>
      <c r="C390" s="20"/>
      <c r="D390" s="52"/>
      <c r="E390" s="20"/>
      <c r="F390" s="20"/>
      <c r="G390" s="20"/>
      <c r="H390" s="20"/>
      <c r="I390" s="20"/>
      <c r="J390" s="20"/>
      <c r="K390" s="20"/>
      <c r="L390" s="19"/>
      <c r="M390" s="47"/>
      <c r="N390" s="20"/>
    </row>
    <row r="391" ht="22.5" customHeight="1">
      <c r="A391" s="20"/>
      <c r="B391" s="20"/>
      <c r="C391" s="20"/>
      <c r="D391" s="52"/>
      <c r="E391" s="20"/>
      <c r="F391" s="20"/>
      <c r="G391" s="20"/>
      <c r="H391" s="20"/>
      <c r="I391" s="20"/>
      <c r="J391" s="20"/>
      <c r="K391" s="20"/>
      <c r="L391" s="19"/>
      <c r="M391" s="47"/>
      <c r="N391" s="20"/>
    </row>
    <row r="392" ht="22.5" customHeight="1">
      <c r="A392" s="20"/>
      <c r="B392" s="20"/>
      <c r="C392" s="20"/>
      <c r="D392" s="52"/>
      <c r="E392" s="20"/>
      <c r="F392" s="20"/>
      <c r="G392" s="20"/>
      <c r="H392" s="20"/>
      <c r="I392" s="20"/>
      <c r="J392" s="20"/>
      <c r="K392" s="20"/>
      <c r="L392" s="19"/>
      <c r="M392" s="47"/>
      <c r="N392" s="20"/>
    </row>
    <row r="393" ht="22.5" customHeight="1">
      <c r="A393" s="20"/>
      <c r="B393" s="20"/>
      <c r="C393" s="20"/>
      <c r="D393" s="52"/>
      <c r="E393" s="20"/>
      <c r="F393" s="20"/>
      <c r="G393" s="20"/>
      <c r="H393" s="20"/>
      <c r="I393" s="20"/>
      <c r="J393" s="20"/>
      <c r="K393" s="20"/>
      <c r="L393" s="19"/>
      <c r="M393" s="47"/>
      <c r="N393" s="20"/>
    </row>
    <row r="394" ht="22.5" customHeight="1">
      <c r="A394" s="20"/>
      <c r="B394" s="20"/>
      <c r="C394" s="20"/>
      <c r="D394" s="52"/>
      <c r="E394" s="20"/>
      <c r="F394" s="20"/>
      <c r="G394" s="20"/>
      <c r="H394" s="20"/>
      <c r="I394" s="20"/>
      <c r="J394" s="20"/>
      <c r="K394" s="20"/>
      <c r="L394" s="19"/>
      <c r="M394" s="47"/>
      <c r="N394" s="20"/>
    </row>
    <row r="395" ht="22.5" customHeight="1">
      <c r="A395" s="20"/>
      <c r="B395" s="20"/>
      <c r="C395" s="20"/>
      <c r="D395" s="52"/>
      <c r="E395" s="20"/>
      <c r="F395" s="20"/>
      <c r="G395" s="20"/>
      <c r="H395" s="20"/>
      <c r="I395" s="20"/>
      <c r="J395" s="20"/>
      <c r="K395" s="20"/>
      <c r="L395" s="19"/>
      <c r="M395" s="47"/>
      <c r="N395" s="20"/>
    </row>
    <row r="396" ht="22.5" customHeight="1">
      <c r="A396" s="20"/>
      <c r="B396" s="20"/>
      <c r="C396" s="20"/>
      <c r="D396" s="52"/>
      <c r="E396" s="20"/>
      <c r="F396" s="20"/>
      <c r="G396" s="20"/>
      <c r="H396" s="20"/>
      <c r="I396" s="20"/>
      <c r="J396" s="20"/>
      <c r="K396" s="20"/>
      <c r="L396" s="19"/>
      <c r="M396" s="47"/>
      <c r="N396" s="20"/>
    </row>
    <row r="397" ht="22.5" customHeight="1">
      <c r="A397" s="20"/>
      <c r="B397" s="20"/>
      <c r="C397" s="20"/>
      <c r="D397" s="52"/>
      <c r="E397" s="20"/>
      <c r="F397" s="20"/>
      <c r="G397" s="20"/>
      <c r="H397" s="20"/>
      <c r="I397" s="20"/>
      <c r="J397" s="20"/>
      <c r="K397" s="20"/>
      <c r="L397" s="19"/>
      <c r="M397" s="47"/>
      <c r="N397" s="20"/>
    </row>
    <row r="398" ht="22.5" customHeight="1">
      <c r="A398" s="20"/>
      <c r="B398" s="20"/>
      <c r="C398" s="20"/>
      <c r="D398" s="52"/>
      <c r="E398" s="20"/>
      <c r="F398" s="20"/>
      <c r="G398" s="20"/>
      <c r="H398" s="20"/>
      <c r="I398" s="20"/>
      <c r="J398" s="20"/>
      <c r="K398" s="20"/>
      <c r="L398" s="19"/>
      <c r="M398" s="47"/>
      <c r="N398" s="20"/>
    </row>
    <row r="399" ht="22.5" customHeight="1">
      <c r="A399" s="20"/>
      <c r="B399" s="20"/>
      <c r="C399" s="20"/>
      <c r="D399" s="52"/>
      <c r="E399" s="20"/>
      <c r="F399" s="20"/>
      <c r="G399" s="20"/>
      <c r="H399" s="20"/>
      <c r="I399" s="20"/>
      <c r="J399" s="20"/>
      <c r="K399" s="20"/>
      <c r="L399" s="19"/>
      <c r="M399" s="47"/>
      <c r="N399" s="20"/>
    </row>
    <row r="400" ht="22.5" customHeight="1">
      <c r="A400" s="20"/>
      <c r="B400" s="20"/>
      <c r="C400" s="20"/>
      <c r="D400" s="52"/>
      <c r="E400" s="20"/>
      <c r="F400" s="20"/>
      <c r="G400" s="20"/>
      <c r="H400" s="20"/>
      <c r="I400" s="20"/>
      <c r="J400" s="20"/>
      <c r="K400" s="20"/>
      <c r="L400" s="19"/>
      <c r="M400" s="47"/>
      <c r="N400" s="20"/>
    </row>
    <row r="401" ht="22.5" customHeight="1">
      <c r="A401" s="20"/>
      <c r="B401" s="20"/>
      <c r="C401" s="20"/>
      <c r="D401" s="52"/>
      <c r="E401" s="20"/>
      <c r="F401" s="20"/>
      <c r="G401" s="20"/>
      <c r="H401" s="20"/>
      <c r="I401" s="20"/>
      <c r="J401" s="20"/>
      <c r="K401" s="20"/>
      <c r="L401" s="19"/>
      <c r="M401" s="47"/>
      <c r="N401" s="20"/>
    </row>
    <row r="402" ht="22.5" customHeight="1">
      <c r="A402" s="20"/>
      <c r="B402" s="20"/>
      <c r="C402" s="20"/>
      <c r="D402" s="52"/>
      <c r="E402" s="20"/>
      <c r="F402" s="20"/>
      <c r="G402" s="20"/>
      <c r="H402" s="20"/>
      <c r="I402" s="20"/>
      <c r="J402" s="20"/>
      <c r="K402" s="20"/>
      <c r="L402" s="19"/>
      <c r="M402" s="47"/>
      <c r="N402" s="20"/>
    </row>
    <row r="403" ht="22.5" customHeight="1">
      <c r="A403" s="20"/>
      <c r="B403" s="20"/>
      <c r="C403" s="20"/>
      <c r="D403" s="52"/>
      <c r="E403" s="20"/>
      <c r="F403" s="20"/>
      <c r="G403" s="20"/>
      <c r="H403" s="20"/>
      <c r="I403" s="20"/>
      <c r="J403" s="20"/>
      <c r="K403" s="20"/>
      <c r="L403" s="19"/>
      <c r="M403" s="47"/>
      <c r="N403" s="20"/>
    </row>
    <row r="404" ht="22.5" customHeight="1">
      <c r="A404" s="20"/>
      <c r="B404" s="20"/>
      <c r="C404" s="20"/>
      <c r="D404" s="52"/>
      <c r="E404" s="20"/>
      <c r="F404" s="20"/>
      <c r="G404" s="20"/>
      <c r="H404" s="20"/>
      <c r="I404" s="20"/>
      <c r="J404" s="20"/>
      <c r="K404" s="20"/>
      <c r="L404" s="19"/>
      <c r="M404" s="47"/>
      <c r="N404" s="20"/>
    </row>
    <row r="405" ht="22.5" customHeight="1">
      <c r="A405" s="20"/>
      <c r="B405" s="20"/>
      <c r="C405" s="20"/>
      <c r="D405" s="52"/>
      <c r="E405" s="20"/>
      <c r="F405" s="20"/>
      <c r="G405" s="20"/>
      <c r="H405" s="20"/>
      <c r="I405" s="20"/>
      <c r="J405" s="20"/>
      <c r="K405" s="20"/>
      <c r="L405" s="19"/>
      <c r="M405" s="47"/>
      <c r="N405" s="20"/>
    </row>
    <row r="406" ht="22.5" customHeight="1">
      <c r="A406" s="20"/>
      <c r="B406" s="20"/>
      <c r="C406" s="20"/>
      <c r="D406" s="52"/>
      <c r="E406" s="20"/>
      <c r="F406" s="20"/>
      <c r="G406" s="20"/>
      <c r="H406" s="20"/>
      <c r="I406" s="20"/>
      <c r="J406" s="20"/>
      <c r="K406" s="20"/>
      <c r="L406" s="19"/>
      <c r="M406" s="47"/>
      <c r="N406" s="20"/>
    </row>
    <row r="407" ht="22.5" customHeight="1">
      <c r="A407" s="20"/>
      <c r="B407" s="20"/>
      <c r="C407" s="20"/>
      <c r="D407" s="52"/>
      <c r="E407" s="20"/>
      <c r="F407" s="20"/>
      <c r="G407" s="20"/>
      <c r="H407" s="20"/>
      <c r="I407" s="20"/>
      <c r="J407" s="20"/>
      <c r="K407" s="20"/>
      <c r="L407" s="19"/>
      <c r="M407" s="47"/>
      <c r="N407" s="20"/>
    </row>
    <row r="408" ht="22.5" customHeight="1">
      <c r="A408" s="20"/>
      <c r="B408" s="20"/>
      <c r="C408" s="20"/>
      <c r="D408" s="52"/>
      <c r="E408" s="20"/>
      <c r="F408" s="20"/>
      <c r="G408" s="20"/>
      <c r="H408" s="20"/>
      <c r="I408" s="20"/>
      <c r="J408" s="20"/>
      <c r="K408" s="20"/>
      <c r="L408" s="19"/>
      <c r="M408" s="47"/>
      <c r="N408" s="20"/>
    </row>
    <row r="409" ht="22.5" customHeight="1">
      <c r="A409" s="20"/>
      <c r="B409" s="20"/>
      <c r="C409" s="20"/>
      <c r="D409" s="52"/>
      <c r="E409" s="20"/>
      <c r="F409" s="20"/>
      <c r="G409" s="20"/>
      <c r="H409" s="20"/>
      <c r="I409" s="20"/>
      <c r="J409" s="20"/>
      <c r="K409" s="20"/>
      <c r="L409" s="19"/>
      <c r="M409" s="47"/>
      <c r="N409" s="20"/>
    </row>
    <row r="410" ht="22.5" customHeight="1">
      <c r="A410" s="20"/>
      <c r="B410" s="20"/>
      <c r="C410" s="20"/>
      <c r="D410" s="52"/>
      <c r="E410" s="20"/>
      <c r="F410" s="20"/>
      <c r="G410" s="20"/>
      <c r="H410" s="20"/>
      <c r="I410" s="20"/>
      <c r="J410" s="20"/>
      <c r="K410" s="20"/>
      <c r="L410" s="19"/>
      <c r="M410" s="47"/>
      <c r="N410" s="20"/>
    </row>
    <row r="411" ht="22.5" customHeight="1">
      <c r="A411" s="20"/>
      <c r="B411" s="20"/>
      <c r="C411" s="20"/>
      <c r="D411" s="52"/>
      <c r="E411" s="20"/>
      <c r="F411" s="20"/>
      <c r="G411" s="20"/>
      <c r="H411" s="20"/>
      <c r="I411" s="20"/>
      <c r="J411" s="20"/>
      <c r="K411" s="20"/>
      <c r="L411" s="19"/>
      <c r="M411" s="47"/>
      <c r="N411" s="20"/>
    </row>
    <row r="412" ht="22.5" customHeight="1">
      <c r="A412" s="20"/>
      <c r="B412" s="20"/>
      <c r="C412" s="20"/>
      <c r="D412" s="52"/>
      <c r="E412" s="20"/>
      <c r="F412" s="20"/>
      <c r="G412" s="20"/>
      <c r="H412" s="20"/>
      <c r="I412" s="20"/>
      <c r="J412" s="20"/>
      <c r="K412" s="20"/>
      <c r="L412" s="19"/>
      <c r="M412" s="47"/>
      <c r="N412" s="20"/>
    </row>
    <row r="413" ht="22.5" customHeight="1">
      <c r="A413" s="20"/>
      <c r="B413" s="20"/>
      <c r="C413" s="20"/>
      <c r="D413" s="52"/>
      <c r="E413" s="20"/>
      <c r="F413" s="20"/>
      <c r="G413" s="20"/>
      <c r="H413" s="20"/>
      <c r="I413" s="20"/>
      <c r="J413" s="20"/>
      <c r="K413" s="20"/>
      <c r="L413" s="19"/>
      <c r="M413" s="47"/>
      <c r="N413" s="20"/>
    </row>
    <row r="414" ht="22.5" customHeight="1">
      <c r="A414" s="20"/>
      <c r="B414" s="20"/>
      <c r="C414" s="20"/>
      <c r="D414" s="52"/>
      <c r="E414" s="20"/>
      <c r="F414" s="20"/>
      <c r="G414" s="20"/>
      <c r="H414" s="20"/>
      <c r="I414" s="20"/>
      <c r="J414" s="20"/>
      <c r="K414" s="20"/>
      <c r="L414" s="19"/>
      <c r="M414" s="47"/>
      <c r="N414" s="20"/>
    </row>
    <row r="415" ht="22.5" customHeight="1">
      <c r="A415" s="20"/>
      <c r="B415" s="20"/>
      <c r="C415" s="20"/>
      <c r="D415" s="52"/>
      <c r="E415" s="20"/>
      <c r="F415" s="20"/>
      <c r="G415" s="20"/>
      <c r="H415" s="20"/>
      <c r="I415" s="20"/>
      <c r="J415" s="20"/>
      <c r="K415" s="20"/>
      <c r="L415" s="19"/>
      <c r="M415" s="47"/>
      <c r="N415" s="20"/>
    </row>
    <row r="416" ht="22.5" customHeight="1">
      <c r="A416" s="20"/>
      <c r="B416" s="20"/>
      <c r="C416" s="20"/>
      <c r="D416" s="52"/>
      <c r="E416" s="20"/>
      <c r="F416" s="20"/>
      <c r="G416" s="20"/>
      <c r="H416" s="20"/>
      <c r="I416" s="20"/>
      <c r="J416" s="20"/>
      <c r="K416" s="20"/>
      <c r="L416" s="19"/>
      <c r="M416" s="47"/>
      <c r="N416" s="20"/>
    </row>
    <row r="417" ht="22.5" customHeight="1">
      <c r="A417" s="20"/>
      <c r="B417" s="20"/>
      <c r="C417" s="20"/>
      <c r="D417" s="52"/>
      <c r="E417" s="20"/>
      <c r="F417" s="20"/>
      <c r="G417" s="20"/>
      <c r="H417" s="20"/>
      <c r="I417" s="20"/>
      <c r="J417" s="20"/>
      <c r="K417" s="20"/>
      <c r="L417" s="19"/>
      <c r="M417" s="47"/>
      <c r="N417" s="20"/>
    </row>
    <row r="418" ht="22.5" customHeight="1">
      <c r="A418" s="20"/>
      <c r="B418" s="20"/>
      <c r="C418" s="20"/>
      <c r="D418" s="52"/>
      <c r="E418" s="20"/>
      <c r="F418" s="20"/>
      <c r="G418" s="20"/>
      <c r="H418" s="20"/>
      <c r="I418" s="20"/>
      <c r="J418" s="20"/>
      <c r="K418" s="20"/>
      <c r="L418" s="19"/>
      <c r="M418" s="47"/>
      <c r="N418" s="20"/>
    </row>
    <row r="419" ht="22.5" customHeight="1">
      <c r="A419" s="20"/>
      <c r="B419" s="20"/>
      <c r="C419" s="20"/>
      <c r="D419" s="52"/>
      <c r="E419" s="20"/>
      <c r="F419" s="20"/>
      <c r="G419" s="20"/>
      <c r="H419" s="20"/>
      <c r="I419" s="20"/>
      <c r="J419" s="20"/>
      <c r="K419" s="20"/>
      <c r="L419" s="19"/>
      <c r="M419" s="47"/>
      <c r="N419" s="20"/>
    </row>
    <row r="420" ht="22.5" customHeight="1">
      <c r="A420" s="20"/>
      <c r="B420" s="20"/>
      <c r="C420" s="20"/>
      <c r="D420" s="52"/>
      <c r="E420" s="20"/>
      <c r="F420" s="20"/>
      <c r="G420" s="20"/>
      <c r="H420" s="20"/>
      <c r="I420" s="20"/>
      <c r="J420" s="20"/>
      <c r="K420" s="20"/>
      <c r="L420" s="19"/>
      <c r="M420" s="47"/>
      <c r="N420" s="20"/>
    </row>
    <row r="421" ht="22.5" customHeight="1">
      <c r="A421" s="20"/>
      <c r="B421" s="20"/>
      <c r="C421" s="20"/>
      <c r="D421" s="52"/>
      <c r="E421" s="20"/>
      <c r="F421" s="20"/>
      <c r="G421" s="20"/>
      <c r="H421" s="20"/>
      <c r="I421" s="20"/>
      <c r="J421" s="20"/>
      <c r="K421" s="20"/>
      <c r="L421" s="19"/>
      <c r="M421" s="47"/>
      <c r="N421" s="20"/>
    </row>
    <row r="422" ht="22.5" customHeight="1">
      <c r="A422" s="20"/>
      <c r="B422" s="20"/>
      <c r="C422" s="20"/>
      <c r="D422" s="52"/>
      <c r="E422" s="20"/>
      <c r="F422" s="20"/>
      <c r="G422" s="20"/>
      <c r="H422" s="20"/>
      <c r="I422" s="20"/>
      <c r="J422" s="20"/>
      <c r="K422" s="20"/>
      <c r="L422" s="19"/>
      <c r="M422" s="47"/>
      <c r="N422" s="20"/>
    </row>
    <row r="423" ht="22.5" customHeight="1">
      <c r="A423" s="20"/>
      <c r="B423" s="20"/>
      <c r="C423" s="20"/>
      <c r="D423" s="52"/>
      <c r="E423" s="20"/>
      <c r="F423" s="20"/>
      <c r="G423" s="20"/>
      <c r="H423" s="20"/>
      <c r="I423" s="20"/>
      <c r="J423" s="20"/>
      <c r="K423" s="20"/>
      <c r="L423" s="19"/>
      <c r="M423" s="47"/>
      <c r="N423" s="20"/>
    </row>
    <row r="424" ht="22.5" customHeight="1">
      <c r="A424" s="20"/>
      <c r="B424" s="20"/>
      <c r="C424" s="20"/>
      <c r="D424" s="52"/>
      <c r="E424" s="20"/>
      <c r="F424" s="20"/>
      <c r="G424" s="20"/>
      <c r="H424" s="20"/>
      <c r="I424" s="20"/>
      <c r="J424" s="20"/>
      <c r="K424" s="20"/>
      <c r="L424" s="19"/>
      <c r="M424" s="47"/>
      <c r="N424" s="20"/>
    </row>
    <row r="425" ht="22.5" customHeight="1">
      <c r="A425" s="20"/>
      <c r="B425" s="20"/>
      <c r="C425" s="20"/>
      <c r="D425" s="52"/>
      <c r="E425" s="20"/>
      <c r="F425" s="20"/>
      <c r="G425" s="20"/>
      <c r="H425" s="20"/>
      <c r="I425" s="20"/>
      <c r="J425" s="20"/>
      <c r="K425" s="20"/>
      <c r="L425" s="19"/>
      <c r="M425" s="47"/>
      <c r="N425" s="20"/>
    </row>
    <row r="426" ht="22.5" customHeight="1">
      <c r="A426" s="20"/>
      <c r="B426" s="20"/>
      <c r="C426" s="20"/>
      <c r="D426" s="52"/>
      <c r="E426" s="20"/>
      <c r="F426" s="20"/>
      <c r="G426" s="20"/>
      <c r="H426" s="20"/>
      <c r="I426" s="20"/>
      <c r="J426" s="20"/>
      <c r="K426" s="20"/>
      <c r="L426" s="19"/>
      <c r="M426" s="47"/>
      <c r="N426" s="20"/>
    </row>
    <row r="427" ht="22.5" customHeight="1">
      <c r="A427" s="20"/>
      <c r="B427" s="20"/>
      <c r="C427" s="20"/>
      <c r="D427" s="52"/>
      <c r="E427" s="20"/>
      <c r="F427" s="20"/>
      <c r="G427" s="20"/>
      <c r="H427" s="20"/>
      <c r="I427" s="20"/>
      <c r="J427" s="20"/>
      <c r="K427" s="20"/>
      <c r="L427" s="19"/>
      <c r="M427" s="47"/>
      <c r="N427" s="20"/>
    </row>
    <row r="428" ht="22.5" customHeight="1">
      <c r="A428" s="20"/>
      <c r="B428" s="20"/>
      <c r="C428" s="20"/>
      <c r="D428" s="52"/>
      <c r="E428" s="20"/>
      <c r="F428" s="20"/>
      <c r="G428" s="20"/>
      <c r="H428" s="20"/>
      <c r="I428" s="20"/>
      <c r="J428" s="20"/>
      <c r="K428" s="20"/>
      <c r="L428" s="19"/>
      <c r="M428" s="47"/>
      <c r="N428" s="20"/>
    </row>
    <row r="429" ht="22.5" customHeight="1">
      <c r="A429" s="20"/>
      <c r="B429" s="20"/>
      <c r="C429" s="20"/>
      <c r="D429" s="52"/>
      <c r="E429" s="20"/>
      <c r="F429" s="20"/>
      <c r="G429" s="20"/>
      <c r="H429" s="20"/>
      <c r="I429" s="20"/>
      <c r="J429" s="20"/>
      <c r="K429" s="20"/>
      <c r="L429" s="19"/>
      <c r="M429" s="47"/>
      <c r="N429" s="20"/>
    </row>
    <row r="430" ht="22.5" customHeight="1">
      <c r="A430" s="20"/>
      <c r="B430" s="20"/>
      <c r="C430" s="20"/>
      <c r="D430" s="52"/>
      <c r="E430" s="20"/>
      <c r="F430" s="20"/>
      <c r="G430" s="20"/>
      <c r="H430" s="20"/>
      <c r="I430" s="20"/>
      <c r="J430" s="20"/>
      <c r="K430" s="20"/>
      <c r="L430" s="19"/>
      <c r="M430" s="47"/>
      <c r="N430" s="20"/>
    </row>
    <row r="431" ht="22.5" customHeight="1">
      <c r="A431" s="20"/>
      <c r="B431" s="20"/>
      <c r="C431" s="20"/>
      <c r="D431" s="52"/>
      <c r="E431" s="20"/>
      <c r="F431" s="20"/>
      <c r="G431" s="20"/>
      <c r="H431" s="20"/>
      <c r="I431" s="20"/>
      <c r="J431" s="20"/>
      <c r="K431" s="20"/>
      <c r="L431" s="19"/>
      <c r="M431" s="47"/>
      <c r="N431" s="20"/>
    </row>
    <row r="432" ht="22.5" customHeight="1">
      <c r="A432" s="20"/>
      <c r="B432" s="20"/>
      <c r="C432" s="20"/>
      <c r="D432" s="52"/>
      <c r="E432" s="20"/>
      <c r="F432" s="20"/>
      <c r="G432" s="20"/>
      <c r="H432" s="20"/>
      <c r="I432" s="20"/>
      <c r="J432" s="20"/>
      <c r="K432" s="20"/>
      <c r="L432" s="19"/>
      <c r="M432" s="47"/>
      <c r="N432" s="20"/>
    </row>
    <row r="433" ht="22.5" customHeight="1">
      <c r="A433" s="20"/>
      <c r="B433" s="20"/>
      <c r="C433" s="20"/>
      <c r="D433" s="52"/>
      <c r="E433" s="20"/>
      <c r="F433" s="20"/>
      <c r="G433" s="20"/>
      <c r="H433" s="20"/>
      <c r="I433" s="20"/>
      <c r="J433" s="20"/>
      <c r="K433" s="20"/>
      <c r="L433" s="19"/>
      <c r="M433" s="47"/>
      <c r="N433" s="20"/>
    </row>
    <row r="434" ht="22.5" customHeight="1">
      <c r="A434" s="20"/>
      <c r="B434" s="20"/>
      <c r="C434" s="20"/>
      <c r="D434" s="52"/>
      <c r="E434" s="20"/>
      <c r="F434" s="20"/>
      <c r="G434" s="20"/>
      <c r="H434" s="20"/>
      <c r="I434" s="20"/>
      <c r="J434" s="20"/>
      <c r="K434" s="20"/>
      <c r="L434" s="19"/>
      <c r="M434" s="47"/>
      <c r="N434" s="20"/>
    </row>
    <row r="435" ht="22.5" customHeight="1">
      <c r="A435" s="20"/>
      <c r="B435" s="20"/>
      <c r="C435" s="20"/>
      <c r="D435" s="52"/>
      <c r="E435" s="20"/>
      <c r="F435" s="20"/>
      <c r="G435" s="20"/>
      <c r="H435" s="20"/>
      <c r="I435" s="20"/>
      <c r="J435" s="20"/>
      <c r="K435" s="20"/>
      <c r="L435" s="19"/>
      <c r="M435" s="47"/>
      <c r="N435" s="20"/>
    </row>
    <row r="436" ht="22.5" customHeight="1">
      <c r="A436" s="20"/>
      <c r="B436" s="20"/>
      <c r="C436" s="20"/>
      <c r="D436" s="52"/>
      <c r="E436" s="20"/>
      <c r="F436" s="20"/>
      <c r="G436" s="20"/>
      <c r="H436" s="20"/>
      <c r="I436" s="20"/>
      <c r="J436" s="20"/>
      <c r="K436" s="20"/>
      <c r="L436" s="19"/>
      <c r="M436" s="47"/>
      <c r="N436" s="20"/>
    </row>
    <row r="437" ht="22.5" customHeight="1">
      <c r="A437" s="20"/>
      <c r="B437" s="20"/>
      <c r="C437" s="20"/>
      <c r="D437" s="52"/>
      <c r="E437" s="20"/>
      <c r="F437" s="20"/>
      <c r="G437" s="20"/>
      <c r="H437" s="20"/>
      <c r="I437" s="20"/>
      <c r="J437" s="20"/>
      <c r="K437" s="20"/>
      <c r="L437" s="19"/>
      <c r="M437" s="47"/>
      <c r="N437" s="20"/>
    </row>
    <row r="438" ht="22.5" customHeight="1">
      <c r="A438" s="20"/>
      <c r="B438" s="20"/>
      <c r="C438" s="20"/>
      <c r="D438" s="52"/>
      <c r="E438" s="20"/>
      <c r="F438" s="20"/>
      <c r="G438" s="20"/>
      <c r="H438" s="20"/>
      <c r="I438" s="20"/>
      <c r="J438" s="20"/>
      <c r="K438" s="20"/>
      <c r="L438" s="19"/>
      <c r="M438" s="47"/>
      <c r="N438" s="20"/>
    </row>
    <row r="439" ht="22.5" customHeight="1">
      <c r="A439" s="20"/>
      <c r="B439" s="20"/>
      <c r="C439" s="20"/>
      <c r="D439" s="52"/>
      <c r="E439" s="20"/>
      <c r="F439" s="20"/>
      <c r="G439" s="20"/>
      <c r="H439" s="20"/>
      <c r="I439" s="20"/>
      <c r="J439" s="20"/>
      <c r="K439" s="20"/>
      <c r="L439" s="19"/>
      <c r="M439" s="47"/>
      <c r="N439" s="20"/>
    </row>
    <row r="440" ht="22.5" customHeight="1">
      <c r="A440" s="20"/>
      <c r="B440" s="20"/>
      <c r="C440" s="20"/>
      <c r="D440" s="52"/>
      <c r="E440" s="20"/>
      <c r="F440" s="20"/>
      <c r="G440" s="20"/>
      <c r="H440" s="20"/>
      <c r="I440" s="20"/>
      <c r="J440" s="20"/>
      <c r="K440" s="20"/>
      <c r="L440" s="19"/>
      <c r="M440" s="47"/>
      <c r="N440" s="20"/>
    </row>
    <row r="441" ht="22.5" customHeight="1">
      <c r="A441" s="20"/>
      <c r="B441" s="20"/>
      <c r="C441" s="20"/>
      <c r="D441" s="52"/>
      <c r="E441" s="20"/>
      <c r="F441" s="20"/>
      <c r="G441" s="20"/>
      <c r="H441" s="20"/>
      <c r="I441" s="20"/>
      <c r="J441" s="20"/>
      <c r="K441" s="20"/>
      <c r="L441" s="19"/>
      <c r="M441" s="47"/>
      <c r="N441" s="20"/>
    </row>
    <row r="442" ht="22.5" customHeight="1">
      <c r="A442" s="20"/>
      <c r="B442" s="20"/>
      <c r="C442" s="20"/>
      <c r="D442" s="52"/>
      <c r="E442" s="20"/>
      <c r="F442" s="20"/>
      <c r="G442" s="20"/>
      <c r="H442" s="20"/>
      <c r="I442" s="20"/>
      <c r="J442" s="20"/>
      <c r="K442" s="20"/>
      <c r="L442" s="19"/>
      <c r="M442" s="47"/>
      <c r="N442" s="20"/>
    </row>
    <row r="443" ht="22.5" customHeight="1">
      <c r="A443" s="20"/>
      <c r="B443" s="20"/>
      <c r="C443" s="20"/>
      <c r="D443" s="52"/>
      <c r="E443" s="20"/>
      <c r="F443" s="20"/>
      <c r="G443" s="20"/>
      <c r="H443" s="20"/>
      <c r="I443" s="20"/>
      <c r="J443" s="20"/>
      <c r="K443" s="20"/>
      <c r="L443" s="19"/>
      <c r="M443" s="47"/>
      <c r="N443" s="20"/>
    </row>
    <row r="444" ht="22.5" customHeight="1">
      <c r="A444" s="20"/>
      <c r="B444" s="20"/>
      <c r="C444" s="20"/>
      <c r="D444" s="52"/>
      <c r="E444" s="20"/>
      <c r="F444" s="20"/>
      <c r="G444" s="20"/>
      <c r="H444" s="20"/>
      <c r="I444" s="20"/>
      <c r="J444" s="20"/>
      <c r="K444" s="20"/>
      <c r="L444" s="19"/>
      <c r="M444" s="47"/>
      <c r="N444" s="20"/>
    </row>
    <row r="445" ht="22.5" customHeight="1">
      <c r="A445" s="20"/>
      <c r="B445" s="20"/>
      <c r="C445" s="20"/>
      <c r="D445" s="52"/>
      <c r="E445" s="20"/>
      <c r="F445" s="20"/>
      <c r="G445" s="20"/>
      <c r="H445" s="20"/>
      <c r="I445" s="20"/>
      <c r="J445" s="20"/>
      <c r="K445" s="20"/>
      <c r="L445" s="19"/>
      <c r="M445" s="47"/>
      <c r="N445" s="20"/>
    </row>
    <row r="446" ht="22.5" customHeight="1">
      <c r="A446" s="20"/>
      <c r="B446" s="20"/>
      <c r="C446" s="20"/>
      <c r="D446" s="52"/>
      <c r="E446" s="20"/>
      <c r="F446" s="20"/>
      <c r="G446" s="20"/>
      <c r="H446" s="20"/>
      <c r="I446" s="20"/>
      <c r="J446" s="20"/>
      <c r="K446" s="20"/>
      <c r="L446" s="19"/>
      <c r="M446" s="47"/>
      <c r="N446" s="20"/>
    </row>
    <row r="447" ht="22.5" customHeight="1">
      <c r="A447" s="20"/>
      <c r="B447" s="20"/>
      <c r="C447" s="20"/>
      <c r="D447" s="52"/>
      <c r="E447" s="20"/>
      <c r="F447" s="20"/>
      <c r="G447" s="20"/>
      <c r="H447" s="20"/>
      <c r="I447" s="20"/>
      <c r="J447" s="20"/>
      <c r="K447" s="20"/>
      <c r="L447" s="19"/>
      <c r="M447" s="47"/>
      <c r="N447" s="20"/>
    </row>
    <row r="448" ht="22.5" customHeight="1">
      <c r="A448" s="20"/>
      <c r="B448" s="20"/>
      <c r="C448" s="20"/>
      <c r="D448" s="52"/>
      <c r="E448" s="20"/>
      <c r="F448" s="20"/>
      <c r="G448" s="20"/>
      <c r="H448" s="20"/>
      <c r="I448" s="20"/>
      <c r="J448" s="20"/>
      <c r="K448" s="20"/>
      <c r="L448" s="19"/>
      <c r="M448" s="47"/>
      <c r="N448" s="20"/>
    </row>
    <row r="449" ht="22.5" customHeight="1">
      <c r="A449" s="20"/>
      <c r="B449" s="20"/>
      <c r="C449" s="20"/>
      <c r="D449" s="52"/>
      <c r="E449" s="20"/>
      <c r="F449" s="20"/>
      <c r="G449" s="20"/>
      <c r="H449" s="20"/>
      <c r="I449" s="20"/>
      <c r="J449" s="20"/>
      <c r="K449" s="20"/>
      <c r="L449" s="19"/>
      <c r="M449" s="47"/>
      <c r="N449" s="20"/>
    </row>
    <row r="450" ht="22.5" customHeight="1">
      <c r="A450" s="20"/>
      <c r="B450" s="20"/>
      <c r="C450" s="20"/>
      <c r="D450" s="52"/>
      <c r="E450" s="20"/>
      <c r="F450" s="20"/>
      <c r="G450" s="20"/>
      <c r="H450" s="20"/>
      <c r="I450" s="20"/>
      <c r="J450" s="20"/>
      <c r="K450" s="20"/>
      <c r="L450" s="19"/>
      <c r="M450" s="47"/>
      <c r="N450" s="20"/>
    </row>
    <row r="451" ht="22.5" customHeight="1">
      <c r="A451" s="20"/>
      <c r="B451" s="20"/>
      <c r="C451" s="20"/>
      <c r="D451" s="52"/>
      <c r="E451" s="20"/>
      <c r="F451" s="20"/>
      <c r="G451" s="20"/>
      <c r="H451" s="20"/>
      <c r="I451" s="20"/>
      <c r="J451" s="20"/>
      <c r="K451" s="20"/>
      <c r="L451" s="19"/>
      <c r="M451" s="47"/>
      <c r="N451" s="20"/>
    </row>
    <row r="452" ht="22.5" customHeight="1">
      <c r="A452" s="20"/>
      <c r="B452" s="20"/>
      <c r="C452" s="20"/>
      <c r="D452" s="52"/>
      <c r="E452" s="20"/>
      <c r="F452" s="20"/>
      <c r="G452" s="20"/>
      <c r="H452" s="20"/>
      <c r="I452" s="20"/>
      <c r="J452" s="20"/>
      <c r="K452" s="20"/>
      <c r="L452" s="19"/>
      <c r="M452" s="47"/>
      <c r="N452" s="20"/>
    </row>
    <row r="453" ht="22.5" customHeight="1">
      <c r="A453" s="20"/>
      <c r="B453" s="20"/>
      <c r="C453" s="20"/>
      <c r="D453" s="52"/>
      <c r="E453" s="20"/>
      <c r="F453" s="20"/>
      <c r="G453" s="20"/>
      <c r="H453" s="20"/>
      <c r="I453" s="20"/>
      <c r="J453" s="20"/>
      <c r="K453" s="20"/>
      <c r="L453" s="19"/>
      <c r="M453" s="47"/>
      <c r="N453" s="20"/>
    </row>
    <row r="454" ht="22.5" customHeight="1">
      <c r="A454" s="20"/>
      <c r="B454" s="20"/>
      <c r="C454" s="20"/>
      <c r="D454" s="52"/>
      <c r="E454" s="20"/>
      <c r="F454" s="20"/>
      <c r="G454" s="20"/>
      <c r="H454" s="20"/>
      <c r="I454" s="20"/>
      <c r="J454" s="20"/>
      <c r="K454" s="20"/>
      <c r="L454" s="19"/>
      <c r="M454" s="47"/>
      <c r="N454" s="20"/>
    </row>
    <row r="455" ht="22.5" customHeight="1">
      <c r="A455" s="20"/>
      <c r="B455" s="20"/>
      <c r="C455" s="20"/>
      <c r="D455" s="52"/>
      <c r="E455" s="20"/>
      <c r="F455" s="20"/>
      <c r="G455" s="20"/>
      <c r="H455" s="20"/>
      <c r="I455" s="20"/>
      <c r="J455" s="20"/>
      <c r="K455" s="20"/>
      <c r="L455" s="19"/>
      <c r="M455" s="47"/>
      <c r="N455" s="20"/>
    </row>
    <row r="456" ht="22.5" customHeight="1">
      <c r="A456" s="20"/>
      <c r="B456" s="20"/>
      <c r="C456" s="20"/>
      <c r="D456" s="52"/>
      <c r="E456" s="20"/>
      <c r="F456" s="20"/>
      <c r="G456" s="20"/>
      <c r="H456" s="20"/>
      <c r="I456" s="20"/>
      <c r="J456" s="20"/>
      <c r="K456" s="20"/>
      <c r="L456" s="19"/>
      <c r="M456" s="47"/>
      <c r="N456" s="20"/>
    </row>
    <row r="457" ht="22.5" customHeight="1">
      <c r="A457" s="20"/>
      <c r="B457" s="20"/>
      <c r="C457" s="20"/>
      <c r="D457" s="52"/>
      <c r="E457" s="20"/>
      <c r="F457" s="20"/>
      <c r="G457" s="20"/>
      <c r="H457" s="20"/>
      <c r="I457" s="20"/>
      <c r="J457" s="20"/>
      <c r="K457" s="20"/>
      <c r="L457" s="19"/>
      <c r="M457" s="47"/>
      <c r="N457" s="20"/>
    </row>
    <row r="458" ht="22.5" customHeight="1">
      <c r="A458" s="20"/>
      <c r="B458" s="20"/>
      <c r="C458" s="20"/>
      <c r="D458" s="52"/>
      <c r="E458" s="20"/>
      <c r="F458" s="20"/>
      <c r="G458" s="20"/>
      <c r="H458" s="20"/>
      <c r="I458" s="20"/>
      <c r="J458" s="20"/>
      <c r="K458" s="20"/>
      <c r="L458" s="19"/>
      <c r="M458" s="47"/>
      <c r="N458" s="20"/>
    </row>
    <row r="459" ht="22.5" customHeight="1">
      <c r="A459" s="20"/>
      <c r="B459" s="20"/>
      <c r="C459" s="20"/>
      <c r="D459" s="52"/>
      <c r="E459" s="20"/>
      <c r="F459" s="20"/>
      <c r="G459" s="20"/>
      <c r="H459" s="20"/>
      <c r="I459" s="20"/>
      <c r="J459" s="20"/>
      <c r="K459" s="20"/>
      <c r="L459" s="19"/>
      <c r="M459" s="47"/>
      <c r="N459" s="20"/>
    </row>
    <row r="460" ht="22.5" customHeight="1">
      <c r="A460" s="20"/>
      <c r="B460" s="20"/>
      <c r="C460" s="20"/>
      <c r="D460" s="52"/>
      <c r="E460" s="20"/>
      <c r="F460" s="20"/>
      <c r="G460" s="20"/>
      <c r="H460" s="20"/>
      <c r="I460" s="20"/>
      <c r="J460" s="20"/>
      <c r="K460" s="20"/>
      <c r="L460" s="19"/>
      <c r="M460" s="47"/>
      <c r="N460" s="20"/>
    </row>
    <row r="461" ht="22.5" customHeight="1">
      <c r="A461" s="20"/>
      <c r="B461" s="20"/>
      <c r="C461" s="20"/>
      <c r="D461" s="52"/>
      <c r="E461" s="20"/>
      <c r="F461" s="20"/>
      <c r="G461" s="20"/>
      <c r="H461" s="20"/>
      <c r="I461" s="20"/>
      <c r="J461" s="20"/>
      <c r="K461" s="20"/>
      <c r="L461" s="19"/>
      <c r="M461" s="47"/>
      <c r="N461" s="20"/>
    </row>
    <row r="462" ht="22.5" customHeight="1">
      <c r="A462" s="20"/>
      <c r="B462" s="20"/>
      <c r="C462" s="20"/>
      <c r="D462" s="52"/>
      <c r="E462" s="20"/>
      <c r="F462" s="20"/>
      <c r="G462" s="20"/>
      <c r="H462" s="20"/>
      <c r="I462" s="20"/>
      <c r="J462" s="20"/>
      <c r="K462" s="20"/>
      <c r="L462" s="19"/>
      <c r="M462" s="47"/>
      <c r="N462" s="20"/>
    </row>
    <row r="463" ht="22.5" customHeight="1">
      <c r="A463" s="20"/>
      <c r="B463" s="20"/>
      <c r="C463" s="20"/>
      <c r="D463" s="52"/>
      <c r="E463" s="20"/>
      <c r="F463" s="20"/>
      <c r="G463" s="20"/>
      <c r="H463" s="20"/>
      <c r="I463" s="20"/>
      <c r="J463" s="20"/>
      <c r="K463" s="20"/>
      <c r="L463" s="19"/>
      <c r="M463" s="47"/>
      <c r="N463" s="20"/>
    </row>
    <row r="464" ht="22.5" customHeight="1">
      <c r="A464" s="20"/>
      <c r="B464" s="20"/>
      <c r="C464" s="20"/>
      <c r="D464" s="52"/>
      <c r="E464" s="20"/>
      <c r="F464" s="20"/>
      <c r="G464" s="20"/>
      <c r="H464" s="20"/>
      <c r="I464" s="20"/>
      <c r="J464" s="20"/>
      <c r="K464" s="20"/>
      <c r="L464" s="19"/>
      <c r="M464" s="47"/>
      <c r="N464" s="20"/>
    </row>
    <row r="465" ht="22.5" customHeight="1">
      <c r="A465" s="20"/>
      <c r="B465" s="20"/>
      <c r="C465" s="20"/>
      <c r="D465" s="52"/>
      <c r="E465" s="20"/>
      <c r="F465" s="20"/>
      <c r="G465" s="20"/>
      <c r="H465" s="20"/>
      <c r="I465" s="20"/>
      <c r="J465" s="20"/>
      <c r="K465" s="20"/>
      <c r="L465" s="19"/>
      <c r="M465" s="47"/>
      <c r="N465" s="20"/>
    </row>
    <row r="466" ht="22.5" customHeight="1">
      <c r="A466" s="20"/>
      <c r="B466" s="20"/>
      <c r="C466" s="20"/>
      <c r="D466" s="52"/>
      <c r="E466" s="20"/>
      <c r="F466" s="20"/>
      <c r="G466" s="20"/>
      <c r="H466" s="20"/>
      <c r="I466" s="20"/>
      <c r="J466" s="20"/>
      <c r="K466" s="20"/>
      <c r="L466" s="19"/>
      <c r="M466" s="47"/>
      <c r="N466" s="20"/>
    </row>
    <row r="467" ht="22.5" customHeight="1">
      <c r="A467" s="20"/>
      <c r="B467" s="20"/>
      <c r="C467" s="20"/>
      <c r="D467" s="52"/>
      <c r="E467" s="20"/>
      <c r="F467" s="20"/>
      <c r="G467" s="20"/>
      <c r="H467" s="20"/>
      <c r="I467" s="20"/>
      <c r="J467" s="20"/>
      <c r="K467" s="20"/>
      <c r="L467" s="19"/>
      <c r="M467" s="47"/>
      <c r="N467" s="20"/>
    </row>
    <row r="468" ht="22.5" customHeight="1">
      <c r="A468" s="20"/>
      <c r="B468" s="20"/>
      <c r="C468" s="20"/>
      <c r="D468" s="52"/>
      <c r="E468" s="20"/>
      <c r="F468" s="20"/>
      <c r="G468" s="20"/>
      <c r="H468" s="20"/>
      <c r="I468" s="20"/>
      <c r="J468" s="20"/>
      <c r="K468" s="20"/>
      <c r="L468" s="19"/>
      <c r="M468" s="47"/>
      <c r="N468" s="20"/>
    </row>
    <row r="469" ht="22.5" customHeight="1">
      <c r="A469" s="20"/>
      <c r="B469" s="20"/>
      <c r="C469" s="20"/>
      <c r="D469" s="52"/>
      <c r="E469" s="20"/>
      <c r="F469" s="20"/>
      <c r="G469" s="20"/>
      <c r="H469" s="20"/>
      <c r="I469" s="20"/>
      <c r="J469" s="20"/>
      <c r="K469" s="20"/>
      <c r="L469" s="19"/>
      <c r="M469" s="47"/>
      <c r="N469" s="20"/>
    </row>
    <row r="470" ht="22.5" customHeight="1">
      <c r="A470" s="20"/>
      <c r="B470" s="20"/>
      <c r="C470" s="20"/>
      <c r="D470" s="52"/>
      <c r="E470" s="20"/>
      <c r="F470" s="20"/>
      <c r="G470" s="20"/>
      <c r="H470" s="20"/>
      <c r="I470" s="20"/>
      <c r="J470" s="20"/>
      <c r="K470" s="20"/>
      <c r="L470" s="19"/>
      <c r="M470" s="47"/>
      <c r="N470" s="20"/>
    </row>
    <row r="471" ht="22.5" customHeight="1">
      <c r="A471" s="20"/>
      <c r="B471" s="20"/>
      <c r="C471" s="20"/>
      <c r="D471" s="52"/>
      <c r="E471" s="20"/>
      <c r="F471" s="20"/>
      <c r="G471" s="20"/>
      <c r="H471" s="20"/>
      <c r="I471" s="20"/>
      <c r="J471" s="20"/>
      <c r="K471" s="20"/>
      <c r="L471" s="19"/>
      <c r="M471" s="47"/>
      <c r="N471" s="20"/>
    </row>
    <row r="472" ht="22.5" customHeight="1">
      <c r="A472" s="20"/>
      <c r="B472" s="20"/>
      <c r="C472" s="20"/>
      <c r="D472" s="52"/>
      <c r="E472" s="20"/>
      <c r="F472" s="20"/>
      <c r="G472" s="20"/>
      <c r="H472" s="20"/>
      <c r="I472" s="20"/>
      <c r="J472" s="20"/>
      <c r="K472" s="20"/>
      <c r="L472" s="19"/>
      <c r="M472" s="47"/>
      <c r="N472" s="20"/>
    </row>
    <row r="473" ht="22.5" customHeight="1">
      <c r="A473" s="20"/>
      <c r="B473" s="20"/>
      <c r="C473" s="20"/>
      <c r="D473" s="52"/>
      <c r="E473" s="20"/>
      <c r="F473" s="20"/>
      <c r="G473" s="20"/>
      <c r="H473" s="20"/>
      <c r="I473" s="20"/>
      <c r="J473" s="20"/>
      <c r="K473" s="20"/>
      <c r="L473" s="19"/>
      <c r="M473" s="47"/>
      <c r="N473" s="20"/>
    </row>
    <row r="474" ht="22.5" customHeight="1">
      <c r="A474" s="20"/>
      <c r="B474" s="20"/>
      <c r="C474" s="20"/>
      <c r="D474" s="52"/>
      <c r="E474" s="20"/>
      <c r="F474" s="20"/>
      <c r="G474" s="20"/>
      <c r="H474" s="20"/>
      <c r="I474" s="20"/>
      <c r="J474" s="20"/>
      <c r="K474" s="20"/>
      <c r="L474" s="19"/>
      <c r="M474" s="47"/>
      <c r="N474" s="20"/>
    </row>
    <row r="475" ht="22.5" customHeight="1">
      <c r="A475" s="20"/>
      <c r="B475" s="20"/>
      <c r="C475" s="20"/>
      <c r="D475" s="52"/>
      <c r="E475" s="20"/>
      <c r="F475" s="20"/>
      <c r="G475" s="20"/>
      <c r="H475" s="20"/>
      <c r="I475" s="20"/>
      <c r="J475" s="20"/>
      <c r="K475" s="20"/>
      <c r="L475" s="19"/>
      <c r="M475" s="47"/>
      <c r="N475" s="20"/>
    </row>
    <row r="476" ht="22.5" customHeight="1">
      <c r="A476" s="20"/>
      <c r="B476" s="20"/>
      <c r="C476" s="20"/>
      <c r="D476" s="52"/>
      <c r="E476" s="20"/>
      <c r="F476" s="20"/>
      <c r="G476" s="20"/>
      <c r="H476" s="20"/>
      <c r="I476" s="20"/>
      <c r="J476" s="20"/>
      <c r="K476" s="20"/>
      <c r="L476" s="19"/>
      <c r="M476" s="47"/>
      <c r="N476" s="20"/>
    </row>
    <row r="477" ht="22.5" customHeight="1">
      <c r="A477" s="20"/>
      <c r="B477" s="20"/>
      <c r="C477" s="20"/>
      <c r="D477" s="52"/>
      <c r="E477" s="20"/>
      <c r="F477" s="20"/>
      <c r="G477" s="20"/>
      <c r="H477" s="20"/>
      <c r="I477" s="20"/>
      <c r="J477" s="20"/>
      <c r="K477" s="20"/>
      <c r="L477" s="19"/>
      <c r="M477" s="47"/>
      <c r="N477" s="20"/>
    </row>
    <row r="478" ht="22.5" customHeight="1">
      <c r="A478" s="20"/>
      <c r="B478" s="20"/>
      <c r="C478" s="20"/>
      <c r="D478" s="52"/>
      <c r="E478" s="20"/>
      <c r="F478" s="20"/>
      <c r="G478" s="20"/>
      <c r="H478" s="20"/>
      <c r="I478" s="20"/>
      <c r="J478" s="20"/>
      <c r="K478" s="20"/>
      <c r="L478" s="19"/>
      <c r="M478" s="47"/>
      <c r="N478" s="20"/>
    </row>
    <row r="479" ht="22.5" customHeight="1">
      <c r="A479" s="20"/>
      <c r="B479" s="20"/>
      <c r="C479" s="20"/>
      <c r="D479" s="52"/>
      <c r="E479" s="20"/>
      <c r="F479" s="20"/>
      <c r="G479" s="20"/>
      <c r="H479" s="20"/>
      <c r="I479" s="20"/>
      <c r="J479" s="20"/>
      <c r="K479" s="20"/>
      <c r="L479" s="19"/>
      <c r="M479" s="47"/>
      <c r="N479" s="20"/>
    </row>
    <row r="480" ht="22.5" customHeight="1">
      <c r="A480" s="20"/>
      <c r="B480" s="20"/>
      <c r="C480" s="20"/>
      <c r="D480" s="52"/>
      <c r="E480" s="20"/>
      <c r="F480" s="20"/>
      <c r="G480" s="20"/>
      <c r="H480" s="20"/>
      <c r="I480" s="20"/>
      <c r="J480" s="20"/>
      <c r="K480" s="20"/>
      <c r="L480" s="19"/>
      <c r="M480" s="47"/>
      <c r="N480" s="20"/>
    </row>
    <row r="481" ht="22.5" customHeight="1">
      <c r="A481" s="20"/>
      <c r="B481" s="20"/>
      <c r="C481" s="20"/>
      <c r="D481" s="52"/>
      <c r="E481" s="20"/>
      <c r="F481" s="20"/>
      <c r="G481" s="20"/>
      <c r="H481" s="20"/>
      <c r="I481" s="20"/>
      <c r="J481" s="20"/>
      <c r="K481" s="20"/>
      <c r="L481" s="19"/>
      <c r="M481" s="47"/>
      <c r="N481" s="20"/>
    </row>
    <row r="482" ht="22.5" customHeight="1">
      <c r="A482" s="20"/>
      <c r="B482" s="20"/>
      <c r="C482" s="20"/>
      <c r="D482" s="52"/>
      <c r="E482" s="20"/>
      <c r="F482" s="20"/>
      <c r="G482" s="20"/>
      <c r="H482" s="20"/>
      <c r="I482" s="20"/>
      <c r="J482" s="20"/>
      <c r="K482" s="20"/>
      <c r="L482" s="19"/>
      <c r="M482" s="47"/>
      <c r="N482" s="20"/>
    </row>
    <row r="483" ht="22.5" customHeight="1">
      <c r="A483" s="20"/>
      <c r="B483" s="20"/>
      <c r="C483" s="20"/>
      <c r="D483" s="52"/>
      <c r="E483" s="20"/>
      <c r="F483" s="20"/>
      <c r="G483" s="20"/>
      <c r="H483" s="20"/>
      <c r="I483" s="20"/>
      <c r="J483" s="20"/>
      <c r="K483" s="20"/>
      <c r="L483" s="19"/>
      <c r="M483" s="47"/>
      <c r="N483" s="20"/>
    </row>
    <row r="484" ht="22.5" customHeight="1">
      <c r="A484" s="20"/>
      <c r="B484" s="20"/>
      <c r="C484" s="20"/>
      <c r="D484" s="52"/>
      <c r="E484" s="20"/>
      <c r="F484" s="20"/>
      <c r="G484" s="20"/>
      <c r="H484" s="20"/>
      <c r="I484" s="20"/>
      <c r="J484" s="20"/>
      <c r="K484" s="20"/>
      <c r="L484" s="19"/>
      <c r="M484" s="47"/>
      <c r="N484" s="20"/>
    </row>
    <row r="485" ht="22.5" customHeight="1">
      <c r="A485" s="20"/>
      <c r="B485" s="20"/>
      <c r="C485" s="20"/>
      <c r="D485" s="52"/>
      <c r="E485" s="20"/>
      <c r="F485" s="20"/>
      <c r="G485" s="20"/>
      <c r="H485" s="20"/>
      <c r="I485" s="20"/>
      <c r="J485" s="20"/>
      <c r="K485" s="20"/>
      <c r="L485" s="19"/>
      <c r="M485" s="47"/>
      <c r="N485" s="20"/>
    </row>
    <row r="486" ht="22.5" customHeight="1">
      <c r="A486" s="20"/>
      <c r="B486" s="20"/>
      <c r="C486" s="20"/>
      <c r="D486" s="52"/>
      <c r="E486" s="20"/>
      <c r="F486" s="20"/>
      <c r="G486" s="20"/>
      <c r="H486" s="20"/>
      <c r="I486" s="20"/>
      <c r="J486" s="20"/>
      <c r="K486" s="20"/>
      <c r="L486" s="19"/>
      <c r="M486" s="47"/>
      <c r="N486" s="20"/>
    </row>
    <row r="487" ht="22.5" customHeight="1">
      <c r="A487" s="20"/>
      <c r="B487" s="20"/>
      <c r="C487" s="20"/>
      <c r="D487" s="52"/>
      <c r="E487" s="20"/>
      <c r="F487" s="20"/>
      <c r="G487" s="20"/>
      <c r="H487" s="20"/>
      <c r="I487" s="20"/>
      <c r="J487" s="20"/>
      <c r="K487" s="20"/>
      <c r="L487" s="19"/>
      <c r="M487" s="47"/>
      <c r="N487" s="20"/>
    </row>
    <row r="488" ht="22.5" customHeight="1">
      <c r="A488" s="20"/>
      <c r="B488" s="20"/>
      <c r="C488" s="20"/>
      <c r="D488" s="52"/>
      <c r="E488" s="20"/>
      <c r="F488" s="20"/>
      <c r="G488" s="20"/>
      <c r="H488" s="20"/>
      <c r="I488" s="20"/>
      <c r="J488" s="20"/>
      <c r="K488" s="20"/>
      <c r="L488" s="19"/>
      <c r="M488" s="47"/>
      <c r="N488" s="20"/>
    </row>
    <row r="489" ht="22.5" customHeight="1">
      <c r="A489" s="20"/>
      <c r="B489" s="20"/>
      <c r="C489" s="20"/>
      <c r="D489" s="52"/>
      <c r="E489" s="20"/>
      <c r="F489" s="20"/>
      <c r="G489" s="20"/>
      <c r="H489" s="20"/>
      <c r="I489" s="20"/>
      <c r="J489" s="20"/>
      <c r="K489" s="20"/>
      <c r="L489" s="19"/>
      <c r="M489" s="47"/>
      <c r="N489" s="20"/>
    </row>
    <row r="490" ht="22.5" customHeight="1">
      <c r="A490" s="20"/>
      <c r="B490" s="20"/>
      <c r="C490" s="20"/>
      <c r="D490" s="52"/>
      <c r="E490" s="20"/>
      <c r="F490" s="20"/>
      <c r="G490" s="20"/>
      <c r="H490" s="20"/>
      <c r="I490" s="20"/>
      <c r="J490" s="20"/>
      <c r="K490" s="20"/>
      <c r="L490" s="19"/>
      <c r="M490" s="47"/>
      <c r="N490" s="20"/>
    </row>
    <row r="491" ht="22.5" customHeight="1">
      <c r="A491" s="20"/>
      <c r="B491" s="20"/>
      <c r="C491" s="20"/>
      <c r="D491" s="52"/>
      <c r="E491" s="20"/>
      <c r="F491" s="20"/>
      <c r="G491" s="20"/>
      <c r="H491" s="20"/>
      <c r="I491" s="20"/>
      <c r="J491" s="20"/>
      <c r="K491" s="20"/>
      <c r="L491" s="19"/>
      <c r="M491" s="47"/>
      <c r="N491" s="20"/>
    </row>
    <row r="492" ht="22.5" customHeight="1">
      <c r="A492" s="20"/>
      <c r="B492" s="20"/>
      <c r="C492" s="20"/>
      <c r="D492" s="52"/>
      <c r="E492" s="20"/>
      <c r="F492" s="20"/>
      <c r="G492" s="20"/>
      <c r="H492" s="20"/>
      <c r="I492" s="20"/>
      <c r="J492" s="20"/>
      <c r="K492" s="20"/>
      <c r="L492" s="19"/>
      <c r="M492" s="47"/>
      <c r="N492" s="20"/>
    </row>
    <row r="493" ht="22.5" customHeight="1">
      <c r="A493" s="20"/>
      <c r="B493" s="20"/>
      <c r="C493" s="20"/>
      <c r="D493" s="52"/>
      <c r="E493" s="20"/>
      <c r="F493" s="20"/>
      <c r="G493" s="20"/>
      <c r="H493" s="20"/>
      <c r="I493" s="20"/>
      <c r="J493" s="20"/>
      <c r="K493" s="20"/>
      <c r="L493" s="19"/>
      <c r="M493" s="47"/>
      <c r="N493" s="20"/>
    </row>
    <row r="494" ht="22.5" customHeight="1">
      <c r="A494" s="20"/>
      <c r="B494" s="20"/>
      <c r="C494" s="20"/>
      <c r="D494" s="52"/>
      <c r="E494" s="20"/>
      <c r="F494" s="20"/>
      <c r="G494" s="20"/>
      <c r="H494" s="20"/>
      <c r="I494" s="20"/>
      <c r="J494" s="20"/>
      <c r="K494" s="20"/>
      <c r="L494" s="19"/>
      <c r="M494" s="47"/>
      <c r="N494" s="20"/>
    </row>
    <row r="495" ht="22.5" customHeight="1">
      <c r="A495" s="20"/>
      <c r="B495" s="20"/>
      <c r="C495" s="20"/>
      <c r="D495" s="52"/>
      <c r="E495" s="20"/>
      <c r="F495" s="20"/>
      <c r="G495" s="20"/>
      <c r="H495" s="20"/>
      <c r="I495" s="20"/>
      <c r="J495" s="20"/>
      <c r="K495" s="20"/>
      <c r="L495" s="19"/>
      <c r="M495" s="47"/>
      <c r="N495" s="20"/>
    </row>
    <row r="496" ht="22.5" customHeight="1">
      <c r="A496" s="20"/>
      <c r="B496" s="20"/>
      <c r="C496" s="20"/>
      <c r="D496" s="52"/>
      <c r="E496" s="20"/>
      <c r="F496" s="20"/>
      <c r="G496" s="20"/>
      <c r="H496" s="20"/>
      <c r="I496" s="20"/>
      <c r="J496" s="20"/>
      <c r="K496" s="20"/>
      <c r="L496" s="19"/>
      <c r="M496" s="47"/>
      <c r="N496" s="20"/>
    </row>
    <row r="497" ht="22.5" customHeight="1">
      <c r="A497" s="20"/>
      <c r="B497" s="20"/>
      <c r="C497" s="20"/>
      <c r="D497" s="52"/>
      <c r="E497" s="20"/>
      <c r="F497" s="20"/>
      <c r="G497" s="20"/>
      <c r="H497" s="20"/>
      <c r="I497" s="20"/>
      <c r="J497" s="20"/>
      <c r="K497" s="20"/>
      <c r="L497" s="19"/>
      <c r="M497" s="47"/>
      <c r="N497" s="20"/>
    </row>
    <row r="498" ht="22.5" customHeight="1">
      <c r="A498" s="20"/>
      <c r="B498" s="20"/>
      <c r="C498" s="20"/>
      <c r="D498" s="52"/>
      <c r="E498" s="20"/>
      <c r="F498" s="20"/>
      <c r="G498" s="20"/>
      <c r="H498" s="20"/>
      <c r="I498" s="20"/>
      <c r="J498" s="20"/>
      <c r="K498" s="20"/>
      <c r="L498" s="19"/>
      <c r="M498" s="47"/>
      <c r="N498" s="20"/>
    </row>
    <row r="499" ht="22.5" customHeight="1">
      <c r="A499" s="20"/>
      <c r="B499" s="20"/>
      <c r="C499" s="20"/>
      <c r="D499" s="52"/>
      <c r="E499" s="20"/>
      <c r="F499" s="20"/>
      <c r="G499" s="20"/>
      <c r="H499" s="20"/>
      <c r="I499" s="20"/>
      <c r="J499" s="20"/>
      <c r="K499" s="20"/>
      <c r="L499" s="19"/>
      <c r="M499" s="47"/>
      <c r="N499" s="20"/>
    </row>
    <row r="500" ht="22.5" customHeight="1">
      <c r="A500" s="20"/>
      <c r="B500" s="20"/>
      <c r="C500" s="20"/>
      <c r="D500" s="52"/>
      <c r="E500" s="20"/>
      <c r="F500" s="20"/>
      <c r="G500" s="20"/>
      <c r="H500" s="20"/>
      <c r="I500" s="20"/>
      <c r="J500" s="20"/>
      <c r="K500" s="20"/>
      <c r="L500" s="19"/>
      <c r="M500" s="47"/>
      <c r="N500" s="20"/>
    </row>
    <row r="501" ht="22.5" customHeight="1">
      <c r="A501" s="20"/>
      <c r="B501" s="20"/>
      <c r="C501" s="20"/>
      <c r="D501" s="52"/>
      <c r="E501" s="20"/>
      <c r="F501" s="20"/>
      <c r="G501" s="20"/>
      <c r="H501" s="20"/>
      <c r="I501" s="20"/>
      <c r="J501" s="20"/>
      <c r="K501" s="20"/>
      <c r="L501" s="19"/>
      <c r="M501" s="47"/>
      <c r="N501" s="20"/>
    </row>
    <row r="502" ht="22.5" customHeight="1">
      <c r="A502" s="20"/>
      <c r="B502" s="20"/>
      <c r="C502" s="20"/>
      <c r="D502" s="52"/>
      <c r="E502" s="20"/>
      <c r="F502" s="20"/>
      <c r="G502" s="20"/>
      <c r="H502" s="20"/>
      <c r="I502" s="20"/>
      <c r="J502" s="20"/>
      <c r="K502" s="20"/>
      <c r="L502" s="19"/>
      <c r="M502" s="47"/>
      <c r="N502" s="20"/>
    </row>
    <row r="503" ht="22.5" customHeight="1">
      <c r="A503" s="20"/>
      <c r="B503" s="20"/>
      <c r="C503" s="20"/>
      <c r="D503" s="52"/>
      <c r="E503" s="20"/>
      <c r="F503" s="20"/>
      <c r="G503" s="20"/>
      <c r="H503" s="20"/>
      <c r="I503" s="20"/>
      <c r="J503" s="20"/>
      <c r="K503" s="20"/>
      <c r="L503" s="19"/>
      <c r="M503" s="47"/>
      <c r="N503" s="20"/>
    </row>
    <row r="504" ht="22.5" customHeight="1">
      <c r="A504" s="20"/>
      <c r="B504" s="20"/>
      <c r="C504" s="20"/>
      <c r="D504" s="52"/>
      <c r="E504" s="20"/>
      <c r="F504" s="20"/>
      <c r="G504" s="20"/>
      <c r="H504" s="20"/>
      <c r="I504" s="20"/>
      <c r="J504" s="20"/>
      <c r="K504" s="20"/>
      <c r="L504" s="19"/>
      <c r="M504" s="47"/>
      <c r="N504" s="20"/>
    </row>
    <row r="505" ht="22.5" customHeight="1">
      <c r="A505" s="20"/>
      <c r="B505" s="20"/>
      <c r="C505" s="20"/>
      <c r="D505" s="52"/>
      <c r="E505" s="20"/>
      <c r="F505" s="20"/>
      <c r="G505" s="20"/>
      <c r="H505" s="20"/>
      <c r="I505" s="20"/>
      <c r="J505" s="20"/>
      <c r="K505" s="20"/>
      <c r="L505" s="19"/>
      <c r="M505" s="47"/>
      <c r="N505" s="20"/>
    </row>
    <row r="506" ht="22.5" customHeight="1">
      <c r="A506" s="20"/>
      <c r="B506" s="20"/>
      <c r="C506" s="20"/>
      <c r="D506" s="52"/>
      <c r="E506" s="20"/>
      <c r="F506" s="20"/>
      <c r="G506" s="20"/>
      <c r="H506" s="20"/>
      <c r="I506" s="20"/>
      <c r="J506" s="20"/>
      <c r="K506" s="20"/>
      <c r="L506" s="19"/>
      <c r="M506" s="47"/>
      <c r="N506" s="20"/>
    </row>
    <row r="507" ht="22.5" customHeight="1">
      <c r="A507" s="20"/>
      <c r="B507" s="20"/>
      <c r="C507" s="20"/>
      <c r="D507" s="52"/>
      <c r="E507" s="20"/>
      <c r="F507" s="20"/>
      <c r="G507" s="20"/>
      <c r="H507" s="20"/>
      <c r="I507" s="20"/>
      <c r="J507" s="20"/>
      <c r="K507" s="20"/>
      <c r="L507" s="19"/>
      <c r="M507" s="47"/>
      <c r="N507" s="20"/>
    </row>
    <row r="508" ht="22.5" customHeight="1">
      <c r="A508" s="20"/>
      <c r="B508" s="20"/>
      <c r="C508" s="20"/>
      <c r="D508" s="52"/>
      <c r="E508" s="20"/>
      <c r="F508" s="20"/>
      <c r="G508" s="20"/>
      <c r="H508" s="20"/>
      <c r="I508" s="20"/>
      <c r="J508" s="20"/>
      <c r="K508" s="20"/>
      <c r="L508" s="19"/>
      <c r="M508" s="47"/>
      <c r="N508" s="20"/>
    </row>
    <row r="509" ht="22.5" customHeight="1">
      <c r="A509" s="20"/>
      <c r="B509" s="20"/>
      <c r="C509" s="20"/>
      <c r="D509" s="52"/>
      <c r="E509" s="20"/>
      <c r="F509" s="20"/>
      <c r="G509" s="20"/>
      <c r="H509" s="20"/>
      <c r="I509" s="20"/>
      <c r="J509" s="20"/>
      <c r="K509" s="20"/>
      <c r="L509" s="19"/>
      <c r="M509" s="47"/>
      <c r="N509" s="20"/>
    </row>
    <row r="510" ht="22.5" customHeight="1">
      <c r="A510" s="20"/>
      <c r="B510" s="20"/>
      <c r="C510" s="20"/>
      <c r="D510" s="52"/>
      <c r="E510" s="20"/>
      <c r="F510" s="20"/>
      <c r="G510" s="20"/>
      <c r="H510" s="20"/>
      <c r="I510" s="20"/>
      <c r="J510" s="20"/>
      <c r="K510" s="20"/>
      <c r="L510" s="19"/>
      <c r="M510" s="47"/>
      <c r="N510" s="20"/>
    </row>
    <row r="511" ht="22.5" customHeight="1">
      <c r="A511" s="20"/>
      <c r="B511" s="20"/>
      <c r="C511" s="20"/>
      <c r="D511" s="52"/>
      <c r="E511" s="20"/>
      <c r="F511" s="20"/>
      <c r="G511" s="20"/>
      <c r="H511" s="20"/>
      <c r="I511" s="20"/>
      <c r="J511" s="20"/>
      <c r="K511" s="20"/>
      <c r="L511" s="19"/>
      <c r="M511" s="47"/>
      <c r="N511" s="20"/>
    </row>
    <row r="512" ht="22.5" customHeight="1">
      <c r="A512" s="20"/>
      <c r="B512" s="20"/>
      <c r="C512" s="20"/>
      <c r="D512" s="52"/>
      <c r="E512" s="20"/>
      <c r="F512" s="20"/>
      <c r="G512" s="20"/>
      <c r="H512" s="20"/>
      <c r="I512" s="20"/>
      <c r="J512" s="20"/>
      <c r="K512" s="20"/>
      <c r="L512" s="19"/>
      <c r="M512" s="47"/>
      <c r="N512" s="20"/>
    </row>
    <row r="513" ht="22.5" customHeight="1">
      <c r="A513" s="20"/>
      <c r="B513" s="20"/>
      <c r="C513" s="20"/>
      <c r="D513" s="52"/>
      <c r="E513" s="20"/>
      <c r="F513" s="20"/>
      <c r="G513" s="20"/>
      <c r="H513" s="20"/>
      <c r="I513" s="20"/>
      <c r="J513" s="20"/>
      <c r="K513" s="20"/>
      <c r="L513" s="19"/>
      <c r="M513" s="47"/>
      <c r="N513" s="20"/>
    </row>
    <row r="514" ht="22.5" customHeight="1">
      <c r="A514" s="20"/>
      <c r="B514" s="20"/>
      <c r="C514" s="20"/>
      <c r="D514" s="52"/>
      <c r="E514" s="20"/>
      <c r="F514" s="20"/>
      <c r="G514" s="20"/>
      <c r="H514" s="20"/>
      <c r="I514" s="20"/>
      <c r="J514" s="20"/>
      <c r="K514" s="20"/>
      <c r="L514" s="19"/>
      <c r="M514" s="47"/>
      <c r="N514" s="20"/>
    </row>
    <row r="515" ht="22.5" customHeight="1">
      <c r="A515" s="20"/>
      <c r="B515" s="20"/>
      <c r="C515" s="20"/>
      <c r="D515" s="52"/>
      <c r="E515" s="20"/>
      <c r="F515" s="20"/>
      <c r="G515" s="20"/>
      <c r="H515" s="20"/>
      <c r="I515" s="20"/>
      <c r="J515" s="20"/>
      <c r="K515" s="20"/>
      <c r="L515" s="19"/>
      <c r="M515" s="47"/>
      <c r="N515" s="20"/>
    </row>
    <row r="516" ht="22.5" customHeight="1">
      <c r="A516" s="20"/>
      <c r="B516" s="20"/>
      <c r="C516" s="20"/>
      <c r="D516" s="52"/>
      <c r="E516" s="20"/>
      <c r="F516" s="20"/>
      <c r="G516" s="20"/>
      <c r="H516" s="20"/>
      <c r="I516" s="20"/>
      <c r="J516" s="20"/>
      <c r="K516" s="20"/>
      <c r="L516" s="19"/>
      <c r="M516" s="47"/>
      <c r="N516" s="20"/>
    </row>
    <row r="517" ht="22.5" customHeight="1">
      <c r="A517" s="20"/>
      <c r="B517" s="20"/>
      <c r="C517" s="20"/>
      <c r="D517" s="52"/>
      <c r="E517" s="20"/>
      <c r="F517" s="20"/>
      <c r="G517" s="20"/>
      <c r="H517" s="20"/>
      <c r="I517" s="20"/>
      <c r="J517" s="20"/>
      <c r="K517" s="20"/>
      <c r="L517" s="19"/>
      <c r="M517" s="47"/>
      <c r="N517" s="20"/>
    </row>
    <row r="518" ht="22.5" customHeight="1">
      <c r="A518" s="20"/>
      <c r="B518" s="20"/>
      <c r="C518" s="20"/>
      <c r="D518" s="52"/>
      <c r="E518" s="20"/>
      <c r="F518" s="20"/>
      <c r="G518" s="20"/>
      <c r="H518" s="20"/>
      <c r="I518" s="20"/>
      <c r="J518" s="20"/>
      <c r="K518" s="20"/>
      <c r="L518" s="19"/>
      <c r="M518" s="47"/>
      <c r="N518" s="20"/>
    </row>
    <row r="519" ht="22.5" customHeight="1">
      <c r="A519" s="20"/>
      <c r="B519" s="20"/>
      <c r="C519" s="20"/>
      <c r="D519" s="52"/>
      <c r="E519" s="20"/>
      <c r="F519" s="20"/>
      <c r="G519" s="20"/>
      <c r="H519" s="20"/>
      <c r="I519" s="20"/>
      <c r="J519" s="20"/>
      <c r="K519" s="20"/>
      <c r="L519" s="19"/>
      <c r="M519" s="47"/>
      <c r="N519" s="20"/>
    </row>
    <row r="520" ht="22.5" customHeight="1">
      <c r="A520" s="20"/>
      <c r="B520" s="20"/>
      <c r="C520" s="20"/>
      <c r="D520" s="52"/>
      <c r="E520" s="20"/>
      <c r="F520" s="20"/>
      <c r="G520" s="20"/>
      <c r="H520" s="20"/>
      <c r="I520" s="20"/>
      <c r="J520" s="20"/>
      <c r="K520" s="20"/>
      <c r="L520" s="19"/>
      <c r="M520" s="47"/>
      <c r="N520" s="20"/>
    </row>
    <row r="521" ht="22.5" customHeight="1">
      <c r="A521" s="20"/>
      <c r="B521" s="20"/>
      <c r="C521" s="20"/>
      <c r="D521" s="52"/>
      <c r="E521" s="20"/>
      <c r="F521" s="20"/>
      <c r="G521" s="20"/>
      <c r="H521" s="20"/>
      <c r="I521" s="20"/>
      <c r="J521" s="20"/>
      <c r="K521" s="20"/>
      <c r="L521" s="19"/>
      <c r="M521" s="47"/>
      <c r="N521" s="20"/>
    </row>
    <row r="522" ht="22.5" customHeight="1">
      <c r="A522" s="20"/>
      <c r="B522" s="20"/>
      <c r="C522" s="20"/>
      <c r="D522" s="52"/>
      <c r="E522" s="20"/>
      <c r="F522" s="20"/>
      <c r="G522" s="20"/>
      <c r="H522" s="20"/>
      <c r="I522" s="20"/>
      <c r="J522" s="20"/>
      <c r="K522" s="20"/>
      <c r="L522" s="19"/>
      <c r="M522" s="47"/>
      <c r="N522" s="20"/>
    </row>
    <row r="523" ht="22.5" customHeight="1">
      <c r="A523" s="20"/>
      <c r="B523" s="20"/>
      <c r="C523" s="20"/>
      <c r="D523" s="52"/>
      <c r="E523" s="20"/>
      <c r="F523" s="20"/>
      <c r="G523" s="20"/>
      <c r="H523" s="20"/>
      <c r="I523" s="20"/>
      <c r="J523" s="20"/>
      <c r="K523" s="20"/>
      <c r="L523" s="19"/>
      <c r="M523" s="47"/>
      <c r="N523" s="20"/>
    </row>
    <row r="524" ht="22.5" customHeight="1">
      <c r="A524" s="20"/>
      <c r="B524" s="20"/>
      <c r="C524" s="20"/>
      <c r="D524" s="52"/>
      <c r="E524" s="20"/>
      <c r="F524" s="20"/>
      <c r="G524" s="20"/>
      <c r="H524" s="20"/>
      <c r="I524" s="20"/>
      <c r="J524" s="20"/>
      <c r="K524" s="20"/>
      <c r="L524" s="19"/>
      <c r="M524" s="47"/>
      <c r="N524" s="20"/>
    </row>
    <row r="525" ht="22.5" customHeight="1">
      <c r="A525" s="20"/>
      <c r="B525" s="20"/>
      <c r="C525" s="20"/>
      <c r="D525" s="52"/>
      <c r="E525" s="20"/>
      <c r="F525" s="20"/>
      <c r="G525" s="20"/>
      <c r="H525" s="20"/>
      <c r="I525" s="20"/>
      <c r="J525" s="20"/>
      <c r="K525" s="20"/>
      <c r="L525" s="19"/>
      <c r="M525" s="47"/>
      <c r="N525" s="20"/>
    </row>
    <row r="526" ht="22.5" customHeight="1">
      <c r="A526" s="20"/>
      <c r="B526" s="20"/>
      <c r="C526" s="20"/>
      <c r="D526" s="52"/>
      <c r="E526" s="20"/>
      <c r="F526" s="20"/>
      <c r="G526" s="20"/>
      <c r="H526" s="20"/>
      <c r="I526" s="20"/>
      <c r="J526" s="20"/>
      <c r="K526" s="20"/>
      <c r="L526" s="19"/>
      <c r="M526" s="47"/>
      <c r="N526" s="20"/>
    </row>
    <row r="527" ht="22.5" customHeight="1">
      <c r="A527" s="20"/>
      <c r="B527" s="20"/>
      <c r="C527" s="20"/>
      <c r="D527" s="52"/>
      <c r="E527" s="20"/>
      <c r="F527" s="20"/>
      <c r="G527" s="20"/>
      <c r="H527" s="20"/>
      <c r="I527" s="20"/>
      <c r="J527" s="20"/>
      <c r="K527" s="20"/>
      <c r="L527" s="19"/>
      <c r="M527" s="47"/>
      <c r="N527" s="20"/>
    </row>
    <row r="528" ht="22.5" customHeight="1">
      <c r="A528" s="20"/>
      <c r="B528" s="20"/>
      <c r="C528" s="20"/>
      <c r="D528" s="52"/>
      <c r="E528" s="20"/>
      <c r="F528" s="20"/>
      <c r="G528" s="20"/>
      <c r="H528" s="20"/>
      <c r="I528" s="20"/>
      <c r="J528" s="20"/>
      <c r="K528" s="20"/>
      <c r="L528" s="19"/>
      <c r="M528" s="47"/>
      <c r="N528" s="20"/>
    </row>
    <row r="529" ht="22.5" customHeight="1">
      <c r="A529" s="20"/>
      <c r="B529" s="20"/>
      <c r="C529" s="20"/>
      <c r="D529" s="52"/>
      <c r="E529" s="20"/>
      <c r="F529" s="20"/>
      <c r="G529" s="20"/>
      <c r="H529" s="20"/>
      <c r="I529" s="20"/>
      <c r="J529" s="20"/>
      <c r="K529" s="20"/>
      <c r="L529" s="19"/>
      <c r="M529" s="47"/>
      <c r="N529" s="20"/>
    </row>
    <row r="530" ht="22.5" customHeight="1">
      <c r="A530" s="20"/>
      <c r="B530" s="20"/>
      <c r="C530" s="20"/>
      <c r="D530" s="52"/>
      <c r="E530" s="20"/>
      <c r="F530" s="20"/>
      <c r="G530" s="20"/>
      <c r="H530" s="20"/>
      <c r="I530" s="20"/>
      <c r="J530" s="20"/>
      <c r="K530" s="20"/>
      <c r="L530" s="19"/>
      <c r="M530" s="47"/>
      <c r="N530" s="20"/>
    </row>
    <row r="531" ht="22.5" customHeight="1">
      <c r="A531" s="20"/>
      <c r="B531" s="20"/>
      <c r="C531" s="20"/>
      <c r="D531" s="52"/>
      <c r="E531" s="20"/>
      <c r="F531" s="20"/>
      <c r="G531" s="20"/>
      <c r="H531" s="20"/>
      <c r="I531" s="20"/>
      <c r="J531" s="20"/>
      <c r="K531" s="20"/>
      <c r="L531" s="19"/>
      <c r="M531" s="47"/>
      <c r="N531" s="20"/>
    </row>
    <row r="532" ht="22.5" customHeight="1">
      <c r="A532" s="20"/>
      <c r="B532" s="20"/>
      <c r="C532" s="20"/>
      <c r="D532" s="52"/>
      <c r="E532" s="20"/>
      <c r="F532" s="20"/>
      <c r="G532" s="20"/>
      <c r="H532" s="20"/>
      <c r="I532" s="20"/>
      <c r="J532" s="20"/>
      <c r="K532" s="20"/>
      <c r="L532" s="19"/>
      <c r="M532" s="47"/>
      <c r="N532" s="20"/>
    </row>
    <row r="533" ht="22.5" customHeight="1">
      <c r="A533" s="20"/>
      <c r="B533" s="20"/>
      <c r="C533" s="20"/>
      <c r="D533" s="52"/>
      <c r="E533" s="20"/>
      <c r="F533" s="20"/>
      <c r="G533" s="20"/>
      <c r="H533" s="20"/>
      <c r="I533" s="20"/>
      <c r="J533" s="20"/>
      <c r="K533" s="20"/>
      <c r="L533" s="19"/>
      <c r="M533" s="47"/>
      <c r="N533" s="20"/>
    </row>
    <row r="534" ht="22.5" customHeight="1">
      <c r="A534" s="20"/>
      <c r="B534" s="20"/>
      <c r="C534" s="20"/>
      <c r="D534" s="52"/>
      <c r="E534" s="20"/>
      <c r="F534" s="20"/>
      <c r="G534" s="20"/>
      <c r="H534" s="20"/>
      <c r="I534" s="20"/>
      <c r="J534" s="20"/>
      <c r="K534" s="20"/>
      <c r="L534" s="19"/>
      <c r="M534" s="47"/>
      <c r="N534" s="20"/>
    </row>
    <row r="535" ht="22.5" customHeight="1">
      <c r="A535" s="20"/>
      <c r="B535" s="20"/>
      <c r="C535" s="20"/>
      <c r="D535" s="52"/>
      <c r="E535" s="20"/>
      <c r="F535" s="20"/>
      <c r="G535" s="20"/>
      <c r="H535" s="20"/>
      <c r="I535" s="20"/>
      <c r="J535" s="20"/>
      <c r="K535" s="20"/>
      <c r="L535" s="19"/>
      <c r="M535" s="47"/>
      <c r="N535" s="20"/>
    </row>
    <row r="536" ht="22.5" customHeight="1">
      <c r="A536" s="20"/>
      <c r="B536" s="20"/>
      <c r="C536" s="20"/>
      <c r="D536" s="52"/>
      <c r="E536" s="20"/>
      <c r="F536" s="20"/>
      <c r="G536" s="20"/>
      <c r="H536" s="20"/>
      <c r="I536" s="20"/>
      <c r="J536" s="20"/>
      <c r="K536" s="20"/>
      <c r="L536" s="19"/>
      <c r="M536" s="47"/>
      <c r="N536" s="20"/>
    </row>
    <row r="537" ht="22.5" customHeight="1">
      <c r="A537" s="20"/>
      <c r="B537" s="20"/>
      <c r="C537" s="20"/>
      <c r="D537" s="52"/>
      <c r="E537" s="20"/>
      <c r="F537" s="20"/>
      <c r="G537" s="20"/>
      <c r="H537" s="20"/>
      <c r="I537" s="20"/>
      <c r="J537" s="20"/>
      <c r="K537" s="20"/>
      <c r="L537" s="19"/>
      <c r="M537" s="47"/>
      <c r="N537" s="20"/>
    </row>
    <row r="538" ht="22.5" customHeight="1">
      <c r="A538" s="20"/>
      <c r="B538" s="20"/>
      <c r="C538" s="20"/>
      <c r="D538" s="52"/>
      <c r="E538" s="20"/>
      <c r="F538" s="20"/>
      <c r="G538" s="20"/>
      <c r="H538" s="20"/>
      <c r="I538" s="20"/>
      <c r="J538" s="20"/>
      <c r="K538" s="20"/>
      <c r="L538" s="19"/>
      <c r="M538" s="47"/>
      <c r="N538" s="20"/>
    </row>
    <row r="539" ht="22.5" customHeight="1">
      <c r="A539" s="20"/>
      <c r="B539" s="20"/>
      <c r="C539" s="20"/>
      <c r="D539" s="52"/>
      <c r="E539" s="20"/>
      <c r="F539" s="20"/>
      <c r="G539" s="20"/>
      <c r="H539" s="20"/>
      <c r="I539" s="20"/>
      <c r="J539" s="20"/>
      <c r="K539" s="20"/>
      <c r="L539" s="19"/>
      <c r="M539" s="47"/>
      <c r="N539" s="20"/>
    </row>
    <row r="540" ht="22.5" customHeight="1">
      <c r="A540" s="20"/>
      <c r="B540" s="20"/>
      <c r="C540" s="20"/>
      <c r="D540" s="52"/>
      <c r="E540" s="20"/>
      <c r="F540" s="20"/>
      <c r="G540" s="20"/>
      <c r="H540" s="20"/>
      <c r="I540" s="20"/>
      <c r="J540" s="20"/>
      <c r="K540" s="20"/>
      <c r="L540" s="19"/>
      <c r="M540" s="47"/>
      <c r="N540" s="20"/>
    </row>
    <row r="541" ht="22.5" customHeight="1">
      <c r="A541" s="20"/>
      <c r="B541" s="20"/>
      <c r="C541" s="20"/>
      <c r="D541" s="52"/>
      <c r="E541" s="20"/>
      <c r="F541" s="20"/>
      <c r="G541" s="20"/>
      <c r="H541" s="20"/>
      <c r="I541" s="20"/>
      <c r="J541" s="20"/>
      <c r="K541" s="20"/>
      <c r="L541" s="19"/>
      <c r="M541" s="47"/>
      <c r="N541" s="20"/>
    </row>
    <row r="542" ht="22.5" customHeight="1">
      <c r="A542" s="20"/>
      <c r="B542" s="20"/>
      <c r="C542" s="20"/>
      <c r="D542" s="52"/>
      <c r="E542" s="20"/>
      <c r="F542" s="20"/>
      <c r="G542" s="20"/>
      <c r="H542" s="20"/>
      <c r="I542" s="20"/>
      <c r="J542" s="20"/>
      <c r="K542" s="20"/>
      <c r="L542" s="19"/>
      <c r="M542" s="47"/>
      <c r="N542" s="20"/>
    </row>
    <row r="543" ht="22.5" customHeight="1">
      <c r="A543" s="20"/>
      <c r="B543" s="20"/>
      <c r="C543" s="20"/>
      <c r="D543" s="52"/>
      <c r="E543" s="20"/>
      <c r="F543" s="20"/>
      <c r="G543" s="20"/>
      <c r="H543" s="20"/>
      <c r="I543" s="20"/>
      <c r="J543" s="20"/>
      <c r="K543" s="20"/>
      <c r="L543" s="19"/>
      <c r="M543" s="47"/>
      <c r="N543" s="20"/>
    </row>
    <row r="544" ht="22.5" customHeight="1">
      <c r="A544" s="20"/>
      <c r="B544" s="20"/>
      <c r="C544" s="20"/>
      <c r="D544" s="52"/>
      <c r="E544" s="20"/>
      <c r="F544" s="20"/>
      <c r="G544" s="20"/>
      <c r="H544" s="20"/>
      <c r="I544" s="20"/>
      <c r="J544" s="20"/>
      <c r="K544" s="20"/>
      <c r="L544" s="19"/>
      <c r="M544" s="47"/>
      <c r="N544" s="20"/>
    </row>
    <row r="545" ht="22.5" customHeight="1">
      <c r="A545" s="20"/>
      <c r="B545" s="20"/>
      <c r="C545" s="20"/>
      <c r="D545" s="52"/>
      <c r="E545" s="20"/>
      <c r="F545" s="20"/>
      <c r="G545" s="20"/>
      <c r="H545" s="20"/>
      <c r="I545" s="20"/>
      <c r="J545" s="20"/>
      <c r="K545" s="20"/>
      <c r="L545" s="19"/>
      <c r="M545" s="47"/>
      <c r="N545" s="20"/>
    </row>
    <row r="546" ht="22.5" customHeight="1">
      <c r="A546" s="20"/>
      <c r="B546" s="20"/>
      <c r="C546" s="20"/>
      <c r="D546" s="52"/>
      <c r="E546" s="20"/>
      <c r="F546" s="20"/>
      <c r="G546" s="20"/>
      <c r="H546" s="20"/>
      <c r="I546" s="20"/>
      <c r="J546" s="20"/>
      <c r="K546" s="20"/>
      <c r="L546" s="19"/>
      <c r="M546" s="47"/>
      <c r="N546" s="20"/>
    </row>
    <row r="547" ht="22.5" customHeight="1">
      <c r="A547" s="20"/>
      <c r="B547" s="20"/>
      <c r="C547" s="20"/>
      <c r="D547" s="52"/>
      <c r="E547" s="20"/>
      <c r="F547" s="20"/>
      <c r="G547" s="20"/>
      <c r="H547" s="20"/>
      <c r="I547" s="20"/>
      <c r="J547" s="20"/>
      <c r="K547" s="20"/>
      <c r="L547" s="19"/>
      <c r="M547" s="47"/>
      <c r="N547" s="20"/>
    </row>
    <row r="548" ht="22.5" customHeight="1">
      <c r="A548" s="20"/>
      <c r="B548" s="20"/>
      <c r="C548" s="20"/>
      <c r="D548" s="52"/>
      <c r="E548" s="20"/>
      <c r="F548" s="20"/>
      <c r="G548" s="20"/>
      <c r="H548" s="20"/>
      <c r="I548" s="20"/>
      <c r="J548" s="20"/>
      <c r="K548" s="20"/>
      <c r="L548" s="19"/>
      <c r="M548" s="47"/>
      <c r="N548" s="20"/>
    </row>
    <row r="549" ht="22.5" customHeight="1">
      <c r="A549" s="20"/>
      <c r="B549" s="20"/>
      <c r="C549" s="20"/>
      <c r="D549" s="52"/>
      <c r="E549" s="20"/>
      <c r="F549" s="20"/>
      <c r="G549" s="20"/>
      <c r="H549" s="20"/>
      <c r="I549" s="20"/>
      <c r="J549" s="20"/>
      <c r="K549" s="20"/>
      <c r="L549" s="19"/>
      <c r="M549" s="47"/>
      <c r="N549" s="20"/>
    </row>
    <row r="550" ht="22.5" customHeight="1">
      <c r="A550" s="20"/>
      <c r="B550" s="20"/>
      <c r="C550" s="20"/>
      <c r="D550" s="52"/>
      <c r="E550" s="20"/>
      <c r="F550" s="20"/>
      <c r="G550" s="20"/>
      <c r="H550" s="20"/>
      <c r="I550" s="20"/>
      <c r="J550" s="20"/>
      <c r="K550" s="20"/>
      <c r="L550" s="19"/>
      <c r="M550" s="47"/>
      <c r="N550" s="20"/>
    </row>
    <row r="551" ht="22.5" customHeight="1">
      <c r="A551" s="20"/>
      <c r="B551" s="20"/>
      <c r="C551" s="20"/>
      <c r="D551" s="52"/>
      <c r="E551" s="20"/>
      <c r="F551" s="20"/>
      <c r="G551" s="20"/>
      <c r="H551" s="20"/>
      <c r="I551" s="20"/>
      <c r="J551" s="20"/>
      <c r="K551" s="20"/>
      <c r="L551" s="19"/>
      <c r="M551" s="47"/>
      <c r="N551" s="20"/>
    </row>
    <row r="552" ht="22.5" customHeight="1">
      <c r="A552" s="20"/>
      <c r="B552" s="20"/>
      <c r="C552" s="20"/>
      <c r="D552" s="52"/>
      <c r="E552" s="20"/>
      <c r="F552" s="20"/>
      <c r="G552" s="20"/>
      <c r="H552" s="20"/>
      <c r="I552" s="20"/>
      <c r="J552" s="20"/>
      <c r="K552" s="20"/>
      <c r="L552" s="19"/>
      <c r="M552" s="47"/>
      <c r="N552" s="20"/>
    </row>
    <row r="553" ht="22.5" customHeight="1">
      <c r="A553" s="20"/>
      <c r="B553" s="20"/>
      <c r="C553" s="20"/>
      <c r="D553" s="52"/>
      <c r="E553" s="20"/>
      <c r="F553" s="20"/>
      <c r="G553" s="20"/>
      <c r="H553" s="20"/>
      <c r="I553" s="20"/>
      <c r="J553" s="20"/>
      <c r="K553" s="20"/>
      <c r="L553" s="19"/>
      <c r="M553" s="47"/>
      <c r="N553" s="20"/>
    </row>
    <row r="554" ht="22.5" customHeight="1">
      <c r="A554" s="20"/>
      <c r="B554" s="20"/>
      <c r="C554" s="20"/>
      <c r="D554" s="52"/>
      <c r="E554" s="20"/>
      <c r="F554" s="20"/>
      <c r="G554" s="20"/>
      <c r="H554" s="20"/>
      <c r="I554" s="20"/>
      <c r="J554" s="20"/>
      <c r="K554" s="20"/>
      <c r="L554" s="19"/>
      <c r="M554" s="47"/>
      <c r="N554" s="20"/>
    </row>
    <row r="555" ht="22.5" customHeight="1">
      <c r="A555" s="20"/>
      <c r="B555" s="20"/>
      <c r="C555" s="20"/>
      <c r="D555" s="52"/>
      <c r="E555" s="20"/>
      <c r="F555" s="20"/>
      <c r="G555" s="20"/>
      <c r="H555" s="20"/>
      <c r="I555" s="20"/>
      <c r="J555" s="20"/>
      <c r="K555" s="20"/>
      <c r="L555" s="19"/>
      <c r="M555" s="47"/>
      <c r="N555" s="20"/>
    </row>
    <row r="556" ht="22.5" customHeight="1">
      <c r="A556" s="20"/>
      <c r="B556" s="20"/>
      <c r="C556" s="20"/>
      <c r="D556" s="52"/>
      <c r="E556" s="20"/>
      <c r="F556" s="20"/>
      <c r="G556" s="20"/>
      <c r="H556" s="20"/>
      <c r="I556" s="20"/>
      <c r="J556" s="20"/>
      <c r="K556" s="20"/>
      <c r="L556" s="19"/>
      <c r="M556" s="47"/>
      <c r="N556" s="20"/>
    </row>
    <row r="557" ht="22.5" customHeight="1">
      <c r="A557" s="20"/>
      <c r="B557" s="20"/>
      <c r="C557" s="20"/>
      <c r="D557" s="52"/>
      <c r="E557" s="20"/>
      <c r="F557" s="20"/>
      <c r="G557" s="20"/>
      <c r="H557" s="20"/>
      <c r="I557" s="20"/>
      <c r="J557" s="20"/>
      <c r="K557" s="20"/>
      <c r="L557" s="19"/>
      <c r="M557" s="47"/>
      <c r="N557" s="20"/>
    </row>
    <row r="558" ht="22.5" customHeight="1">
      <c r="A558" s="20"/>
      <c r="B558" s="20"/>
      <c r="C558" s="20"/>
      <c r="D558" s="52"/>
      <c r="E558" s="20"/>
      <c r="F558" s="20"/>
      <c r="G558" s="20"/>
      <c r="H558" s="20"/>
      <c r="I558" s="20"/>
      <c r="J558" s="20"/>
      <c r="K558" s="20"/>
      <c r="L558" s="19"/>
      <c r="M558" s="47"/>
      <c r="N558" s="20"/>
    </row>
    <row r="559" ht="22.5" customHeight="1">
      <c r="A559" s="20"/>
      <c r="B559" s="20"/>
      <c r="C559" s="20"/>
      <c r="D559" s="52"/>
      <c r="E559" s="20"/>
      <c r="F559" s="20"/>
      <c r="G559" s="20"/>
      <c r="H559" s="20"/>
      <c r="I559" s="20"/>
      <c r="J559" s="20"/>
      <c r="K559" s="20"/>
      <c r="L559" s="19"/>
      <c r="M559" s="47"/>
      <c r="N559" s="20"/>
    </row>
    <row r="560" ht="22.5" customHeight="1">
      <c r="A560" s="20"/>
      <c r="B560" s="20"/>
      <c r="C560" s="20"/>
      <c r="D560" s="52"/>
      <c r="E560" s="20"/>
      <c r="F560" s="20"/>
      <c r="G560" s="20"/>
      <c r="H560" s="20"/>
      <c r="I560" s="20"/>
      <c r="J560" s="20"/>
      <c r="K560" s="20"/>
      <c r="L560" s="19"/>
      <c r="M560" s="47"/>
      <c r="N560" s="20"/>
    </row>
    <row r="561" ht="22.5" customHeight="1">
      <c r="A561" s="20"/>
      <c r="B561" s="20"/>
      <c r="C561" s="20"/>
      <c r="D561" s="52"/>
      <c r="E561" s="20"/>
      <c r="F561" s="20"/>
      <c r="G561" s="20"/>
      <c r="H561" s="20"/>
      <c r="I561" s="20"/>
      <c r="J561" s="20"/>
      <c r="K561" s="20"/>
      <c r="L561" s="19"/>
      <c r="M561" s="47"/>
      <c r="N561" s="20"/>
    </row>
    <row r="562" ht="22.5" customHeight="1">
      <c r="A562" s="20"/>
      <c r="B562" s="20"/>
      <c r="C562" s="20"/>
      <c r="D562" s="52"/>
      <c r="E562" s="20"/>
      <c r="F562" s="20"/>
      <c r="G562" s="20"/>
      <c r="H562" s="20"/>
      <c r="I562" s="20"/>
      <c r="J562" s="20"/>
      <c r="K562" s="20"/>
      <c r="L562" s="19"/>
      <c r="M562" s="47"/>
      <c r="N562" s="20"/>
    </row>
    <row r="563" ht="22.5" customHeight="1">
      <c r="A563" s="20"/>
      <c r="B563" s="20"/>
      <c r="C563" s="20"/>
      <c r="D563" s="52"/>
      <c r="E563" s="20"/>
      <c r="F563" s="20"/>
      <c r="G563" s="20"/>
      <c r="H563" s="20"/>
      <c r="I563" s="20"/>
      <c r="J563" s="20"/>
      <c r="K563" s="20"/>
      <c r="L563" s="19"/>
      <c r="M563" s="47"/>
      <c r="N563" s="20"/>
    </row>
    <row r="564" ht="22.5" customHeight="1">
      <c r="A564" s="20"/>
      <c r="B564" s="20"/>
      <c r="C564" s="20"/>
      <c r="D564" s="52"/>
      <c r="E564" s="20"/>
      <c r="F564" s="20"/>
      <c r="G564" s="20"/>
      <c r="H564" s="20"/>
      <c r="I564" s="20"/>
      <c r="J564" s="20"/>
      <c r="K564" s="20"/>
      <c r="L564" s="19"/>
      <c r="M564" s="47"/>
      <c r="N564" s="20"/>
    </row>
    <row r="565" ht="22.5" customHeight="1">
      <c r="A565" s="20"/>
      <c r="B565" s="20"/>
      <c r="C565" s="20"/>
      <c r="D565" s="52"/>
      <c r="E565" s="20"/>
      <c r="F565" s="20"/>
      <c r="G565" s="20"/>
      <c r="H565" s="20"/>
      <c r="I565" s="20"/>
      <c r="J565" s="20"/>
      <c r="K565" s="20"/>
      <c r="L565" s="19"/>
      <c r="M565" s="47"/>
      <c r="N565" s="20"/>
    </row>
    <row r="566" ht="22.5" customHeight="1">
      <c r="A566" s="20"/>
      <c r="B566" s="20"/>
      <c r="C566" s="20"/>
      <c r="D566" s="52"/>
      <c r="E566" s="20"/>
      <c r="F566" s="20"/>
      <c r="G566" s="20"/>
      <c r="H566" s="20"/>
      <c r="I566" s="20"/>
      <c r="J566" s="20"/>
      <c r="K566" s="20"/>
      <c r="L566" s="19"/>
      <c r="M566" s="47"/>
      <c r="N566" s="20"/>
    </row>
    <row r="567" ht="22.5" customHeight="1">
      <c r="A567" s="20"/>
      <c r="B567" s="20"/>
      <c r="C567" s="20"/>
      <c r="D567" s="52"/>
      <c r="E567" s="20"/>
      <c r="F567" s="20"/>
      <c r="G567" s="20"/>
      <c r="H567" s="20"/>
      <c r="I567" s="20"/>
      <c r="J567" s="20"/>
      <c r="K567" s="20"/>
      <c r="L567" s="19"/>
      <c r="M567" s="47"/>
      <c r="N567" s="20"/>
    </row>
    <row r="568" ht="22.5" customHeight="1">
      <c r="A568" s="20"/>
      <c r="B568" s="20"/>
      <c r="C568" s="20"/>
      <c r="D568" s="52"/>
      <c r="E568" s="20"/>
      <c r="F568" s="20"/>
      <c r="G568" s="20"/>
      <c r="H568" s="20"/>
      <c r="I568" s="20"/>
      <c r="J568" s="20"/>
      <c r="K568" s="20"/>
      <c r="L568" s="19"/>
      <c r="M568" s="47"/>
      <c r="N568" s="20"/>
    </row>
    <row r="569" ht="22.5" customHeight="1">
      <c r="A569" s="20"/>
      <c r="B569" s="20"/>
      <c r="C569" s="20"/>
      <c r="D569" s="52"/>
      <c r="E569" s="20"/>
      <c r="F569" s="20"/>
      <c r="G569" s="20"/>
      <c r="H569" s="20"/>
      <c r="I569" s="20"/>
      <c r="J569" s="20"/>
      <c r="K569" s="20"/>
      <c r="L569" s="19"/>
      <c r="M569" s="47"/>
      <c r="N569" s="20"/>
    </row>
    <row r="570" ht="22.5" customHeight="1">
      <c r="A570" s="20"/>
      <c r="B570" s="20"/>
      <c r="C570" s="20"/>
      <c r="D570" s="52"/>
      <c r="E570" s="20"/>
      <c r="F570" s="20"/>
      <c r="G570" s="20"/>
      <c r="H570" s="20"/>
      <c r="I570" s="20"/>
      <c r="J570" s="20"/>
      <c r="K570" s="20"/>
      <c r="L570" s="19"/>
      <c r="M570" s="47"/>
      <c r="N570" s="20"/>
    </row>
    <row r="571" ht="22.5" customHeight="1">
      <c r="A571" s="20"/>
      <c r="B571" s="20"/>
      <c r="C571" s="20"/>
      <c r="D571" s="52"/>
      <c r="E571" s="20"/>
      <c r="F571" s="20"/>
      <c r="G571" s="20"/>
      <c r="H571" s="20"/>
      <c r="I571" s="20"/>
      <c r="J571" s="20"/>
      <c r="K571" s="20"/>
      <c r="L571" s="19"/>
      <c r="M571" s="47"/>
      <c r="N571" s="20"/>
    </row>
    <row r="572" ht="22.5" customHeight="1">
      <c r="A572" s="20"/>
      <c r="B572" s="20"/>
      <c r="C572" s="20"/>
      <c r="D572" s="52"/>
      <c r="E572" s="20"/>
      <c r="F572" s="20"/>
      <c r="G572" s="20"/>
      <c r="H572" s="20"/>
      <c r="I572" s="20"/>
      <c r="J572" s="20"/>
      <c r="K572" s="20"/>
      <c r="L572" s="19"/>
      <c r="M572" s="47"/>
      <c r="N572" s="20"/>
    </row>
    <row r="573" ht="22.5" customHeight="1">
      <c r="A573" s="20"/>
      <c r="B573" s="20"/>
      <c r="C573" s="20"/>
      <c r="D573" s="52"/>
      <c r="E573" s="20"/>
      <c r="F573" s="20"/>
      <c r="G573" s="20"/>
      <c r="H573" s="20"/>
      <c r="I573" s="20"/>
      <c r="J573" s="20"/>
      <c r="K573" s="20"/>
      <c r="L573" s="19"/>
      <c r="M573" s="47"/>
      <c r="N573" s="20"/>
    </row>
    <row r="574" ht="22.5" customHeight="1">
      <c r="A574" s="20"/>
      <c r="B574" s="20"/>
      <c r="C574" s="20"/>
      <c r="D574" s="52"/>
      <c r="E574" s="20"/>
      <c r="F574" s="20"/>
      <c r="G574" s="20"/>
      <c r="H574" s="20"/>
      <c r="I574" s="20"/>
      <c r="J574" s="20"/>
      <c r="K574" s="20"/>
      <c r="L574" s="19"/>
      <c r="M574" s="47"/>
      <c r="N574" s="20"/>
    </row>
    <row r="575" ht="22.5" customHeight="1">
      <c r="A575" s="20"/>
      <c r="B575" s="20"/>
      <c r="C575" s="20"/>
      <c r="D575" s="52"/>
      <c r="E575" s="20"/>
      <c r="F575" s="20"/>
      <c r="G575" s="20"/>
      <c r="H575" s="20"/>
      <c r="I575" s="20"/>
      <c r="J575" s="20"/>
      <c r="K575" s="20"/>
      <c r="L575" s="19"/>
      <c r="M575" s="47"/>
      <c r="N575" s="20"/>
    </row>
    <row r="576" ht="22.5" customHeight="1">
      <c r="A576" s="20"/>
      <c r="B576" s="20"/>
      <c r="C576" s="20"/>
      <c r="D576" s="52"/>
      <c r="E576" s="20"/>
      <c r="F576" s="20"/>
      <c r="G576" s="20"/>
      <c r="H576" s="20"/>
      <c r="I576" s="20"/>
      <c r="J576" s="20"/>
      <c r="K576" s="20"/>
      <c r="L576" s="19"/>
      <c r="M576" s="47"/>
      <c r="N576" s="20"/>
    </row>
    <row r="577" ht="22.5" customHeight="1">
      <c r="A577" s="20"/>
      <c r="B577" s="20"/>
      <c r="C577" s="20"/>
      <c r="D577" s="52"/>
      <c r="E577" s="20"/>
      <c r="F577" s="20"/>
      <c r="G577" s="20"/>
      <c r="H577" s="20"/>
      <c r="I577" s="20"/>
      <c r="J577" s="20"/>
      <c r="K577" s="20"/>
      <c r="L577" s="19"/>
      <c r="M577" s="47"/>
      <c r="N577" s="20"/>
    </row>
    <row r="578" ht="22.5" customHeight="1">
      <c r="A578" s="20"/>
      <c r="B578" s="20"/>
      <c r="C578" s="20"/>
      <c r="D578" s="52"/>
      <c r="E578" s="20"/>
      <c r="F578" s="20"/>
      <c r="G578" s="20"/>
      <c r="H578" s="20"/>
      <c r="I578" s="20"/>
      <c r="J578" s="20"/>
      <c r="K578" s="20"/>
      <c r="L578" s="19"/>
      <c r="M578" s="47"/>
      <c r="N578" s="20"/>
    </row>
    <row r="579" ht="22.5" customHeight="1">
      <c r="A579" s="20"/>
      <c r="B579" s="20"/>
      <c r="C579" s="20"/>
      <c r="D579" s="52"/>
      <c r="E579" s="20"/>
      <c r="F579" s="20"/>
      <c r="G579" s="20"/>
      <c r="H579" s="20"/>
      <c r="I579" s="20"/>
      <c r="J579" s="20"/>
      <c r="K579" s="20"/>
      <c r="L579" s="19"/>
      <c r="M579" s="47"/>
      <c r="N579" s="20"/>
    </row>
    <row r="580" ht="22.5" customHeight="1">
      <c r="A580" s="20"/>
      <c r="B580" s="20"/>
      <c r="C580" s="20"/>
      <c r="D580" s="52"/>
      <c r="E580" s="20"/>
      <c r="F580" s="20"/>
      <c r="G580" s="20"/>
      <c r="H580" s="20"/>
      <c r="I580" s="20"/>
      <c r="J580" s="20"/>
      <c r="K580" s="20"/>
      <c r="L580" s="19"/>
      <c r="M580" s="47"/>
      <c r="N580" s="20"/>
    </row>
    <row r="581" ht="22.5" customHeight="1">
      <c r="A581" s="20"/>
      <c r="B581" s="20"/>
      <c r="C581" s="20"/>
      <c r="D581" s="52"/>
      <c r="E581" s="20"/>
      <c r="F581" s="20"/>
      <c r="G581" s="20"/>
      <c r="H581" s="20"/>
      <c r="I581" s="20"/>
      <c r="J581" s="20"/>
      <c r="K581" s="20"/>
      <c r="L581" s="19"/>
      <c r="M581" s="47"/>
      <c r="N581" s="20"/>
    </row>
    <row r="582" ht="22.5" customHeight="1">
      <c r="A582" s="20"/>
      <c r="B582" s="20"/>
      <c r="C582" s="20"/>
      <c r="D582" s="52"/>
      <c r="E582" s="20"/>
      <c r="F582" s="20"/>
      <c r="G582" s="20"/>
      <c r="H582" s="20"/>
      <c r="I582" s="20"/>
      <c r="J582" s="20"/>
      <c r="K582" s="20"/>
      <c r="L582" s="19"/>
      <c r="M582" s="47"/>
      <c r="N582" s="20"/>
    </row>
    <row r="583" ht="22.5" customHeight="1">
      <c r="A583" s="20"/>
      <c r="B583" s="20"/>
      <c r="C583" s="20"/>
      <c r="D583" s="52"/>
      <c r="E583" s="20"/>
      <c r="F583" s="20"/>
      <c r="G583" s="20"/>
      <c r="H583" s="20"/>
      <c r="I583" s="20"/>
      <c r="J583" s="20"/>
      <c r="K583" s="20"/>
      <c r="L583" s="19"/>
      <c r="M583" s="47"/>
      <c r="N583" s="20"/>
    </row>
    <row r="584" ht="22.5" customHeight="1">
      <c r="A584" s="20"/>
      <c r="B584" s="20"/>
      <c r="C584" s="20"/>
      <c r="D584" s="52"/>
      <c r="E584" s="20"/>
      <c r="F584" s="20"/>
      <c r="G584" s="20"/>
      <c r="H584" s="20"/>
      <c r="I584" s="20"/>
      <c r="J584" s="20"/>
      <c r="K584" s="20"/>
      <c r="L584" s="19"/>
      <c r="M584" s="47"/>
      <c r="N584" s="20"/>
    </row>
    <row r="585" ht="22.5" customHeight="1">
      <c r="A585" s="20"/>
      <c r="B585" s="20"/>
      <c r="C585" s="20"/>
      <c r="D585" s="52"/>
      <c r="E585" s="20"/>
      <c r="F585" s="20"/>
      <c r="G585" s="20"/>
      <c r="H585" s="20"/>
      <c r="I585" s="20"/>
      <c r="J585" s="20"/>
      <c r="K585" s="20"/>
      <c r="L585" s="19"/>
      <c r="M585" s="47"/>
      <c r="N585" s="20"/>
    </row>
    <row r="586" ht="22.5" customHeight="1">
      <c r="A586" s="20"/>
      <c r="B586" s="20"/>
      <c r="C586" s="20"/>
      <c r="D586" s="52"/>
      <c r="E586" s="20"/>
      <c r="F586" s="20"/>
      <c r="G586" s="20"/>
      <c r="H586" s="20"/>
      <c r="I586" s="20"/>
      <c r="J586" s="20"/>
      <c r="K586" s="20"/>
      <c r="L586" s="19"/>
      <c r="M586" s="47"/>
      <c r="N586" s="20"/>
    </row>
    <row r="587" ht="22.5" customHeight="1">
      <c r="A587" s="20"/>
      <c r="B587" s="20"/>
      <c r="C587" s="20"/>
      <c r="D587" s="52"/>
      <c r="E587" s="20"/>
      <c r="F587" s="20"/>
      <c r="G587" s="20"/>
      <c r="H587" s="20"/>
      <c r="I587" s="20"/>
      <c r="J587" s="20"/>
      <c r="K587" s="20"/>
      <c r="L587" s="19"/>
      <c r="M587" s="47"/>
      <c r="N587" s="20"/>
    </row>
    <row r="588" ht="22.5" customHeight="1">
      <c r="A588" s="20"/>
      <c r="B588" s="20"/>
      <c r="C588" s="20"/>
      <c r="D588" s="52"/>
      <c r="E588" s="20"/>
      <c r="F588" s="20"/>
      <c r="G588" s="20"/>
      <c r="H588" s="20"/>
      <c r="I588" s="20"/>
      <c r="J588" s="20"/>
      <c r="K588" s="20"/>
      <c r="L588" s="19"/>
      <c r="M588" s="47"/>
      <c r="N588" s="20"/>
    </row>
    <row r="589" ht="22.5" customHeight="1">
      <c r="A589" s="20"/>
      <c r="B589" s="20"/>
      <c r="C589" s="20"/>
      <c r="D589" s="52"/>
      <c r="E589" s="20"/>
      <c r="F589" s="20"/>
      <c r="G589" s="20"/>
      <c r="H589" s="20"/>
      <c r="I589" s="20"/>
      <c r="J589" s="20"/>
      <c r="K589" s="20"/>
      <c r="L589" s="19"/>
      <c r="M589" s="47"/>
      <c r="N589" s="20"/>
    </row>
    <row r="590" ht="22.5" customHeight="1">
      <c r="A590" s="20"/>
      <c r="B590" s="20"/>
      <c r="C590" s="20"/>
      <c r="D590" s="52"/>
      <c r="E590" s="20"/>
      <c r="F590" s="20"/>
      <c r="G590" s="20"/>
      <c r="H590" s="20"/>
      <c r="I590" s="20"/>
      <c r="J590" s="20"/>
      <c r="K590" s="20"/>
      <c r="L590" s="19"/>
      <c r="M590" s="47"/>
      <c r="N590" s="20"/>
    </row>
    <row r="591" ht="22.5" customHeight="1">
      <c r="A591" s="20"/>
      <c r="B591" s="20"/>
      <c r="C591" s="20"/>
      <c r="D591" s="52"/>
      <c r="E591" s="20"/>
      <c r="F591" s="20"/>
      <c r="G591" s="20"/>
      <c r="H591" s="20"/>
      <c r="I591" s="20"/>
      <c r="J591" s="20"/>
      <c r="K591" s="20"/>
      <c r="L591" s="19"/>
      <c r="M591" s="47"/>
      <c r="N591" s="20"/>
    </row>
    <row r="592" ht="22.5" customHeight="1">
      <c r="A592" s="20"/>
      <c r="B592" s="20"/>
      <c r="C592" s="20"/>
      <c r="D592" s="52"/>
      <c r="E592" s="20"/>
      <c r="F592" s="20"/>
      <c r="G592" s="20"/>
      <c r="H592" s="20"/>
      <c r="I592" s="20"/>
      <c r="J592" s="20"/>
      <c r="K592" s="20"/>
      <c r="L592" s="19"/>
      <c r="M592" s="47"/>
      <c r="N592" s="20"/>
    </row>
    <row r="593" ht="22.5" customHeight="1">
      <c r="A593" s="20"/>
      <c r="B593" s="20"/>
      <c r="C593" s="20"/>
      <c r="D593" s="52"/>
      <c r="E593" s="20"/>
      <c r="F593" s="20"/>
      <c r="G593" s="20"/>
      <c r="H593" s="20"/>
      <c r="I593" s="20"/>
      <c r="J593" s="20"/>
      <c r="K593" s="20"/>
      <c r="L593" s="19"/>
      <c r="M593" s="47"/>
      <c r="N593" s="20"/>
    </row>
    <row r="594" ht="22.5" customHeight="1">
      <c r="A594" s="20"/>
      <c r="B594" s="20"/>
      <c r="C594" s="20"/>
      <c r="D594" s="52"/>
      <c r="E594" s="20"/>
      <c r="F594" s="20"/>
      <c r="G594" s="20"/>
      <c r="H594" s="20"/>
      <c r="I594" s="20"/>
      <c r="J594" s="20"/>
      <c r="K594" s="20"/>
      <c r="L594" s="19"/>
      <c r="M594" s="47"/>
      <c r="N594" s="20"/>
    </row>
    <row r="595" ht="22.5" customHeight="1">
      <c r="A595" s="20"/>
      <c r="B595" s="20"/>
      <c r="C595" s="20"/>
      <c r="D595" s="52"/>
      <c r="E595" s="20"/>
      <c r="F595" s="20"/>
      <c r="G595" s="20"/>
      <c r="H595" s="20"/>
      <c r="I595" s="20"/>
      <c r="J595" s="20"/>
      <c r="K595" s="20"/>
      <c r="L595" s="19"/>
      <c r="M595" s="47"/>
      <c r="N595" s="20"/>
    </row>
    <row r="596" ht="22.5" customHeight="1">
      <c r="A596" s="20"/>
      <c r="B596" s="20"/>
      <c r="C596" s="20"/>
      <c r="D596" s="52"/>
      <c r="E596" s="20"/>
      <c r="F596" s="20"/>
      <c r="G596" s="20"/>
      <c r="H596" s="20"/>
      <c r="I596" s="20"/>
      <c r="J596" s="20"/>
      <c r="K596" s="20"/>
      <c r="L596" s="19"/>
      <c r="M596" s="47"/>
      <c r="N596" s="20"/>
    </row>
    <row r="597" ht="22.5" customHeight="1">
      <c r="A597" s="20"/>
      <c r="B597" s="20"/>
      <c r="C597" s="20"/>
      <c r="D597" s="52"/>
      <c r="E597" s="20"/>
      <c r="F597" s="20"/>
      <c r="G597" s="20"/>
      <c r="H597" s="20"/>
      <c r="I597" s="20"/>
      <c r="J597" s="20"/>
      <c r="K597" s="20"/>
      <c r="L597" s="19"/>
      <c r="M597" s="47"/>
      <c r="N597" s="20"/>
    </row>
    <row r="598" ht="22.5" customHeight="1">
      <c r="A598" s="20"/>
      <c r="B598" s="20"/>
      <c r="C598" s="20"/>
      <c r="D598" s="52"/>
      <c r="E598" s="20"/>
      <c r="F598" s="20"/>
      <c r="G598" s="20"/>
      <c r="H598" s="20"/>
      <c r="I598" s="20"/>
      <c r="J598" s="20"/>
      <c r="K598" s="20"/>
      <c r="L598" s="19"/>
      <c r="M598" s="47"/>
      <c r="N598" s="20"/>
    </row>
    <row r="599" ht="22.5" customHeight="1">
      <c r="A599" s="20"/>
      <c r="B599" s="20"/>
      <c r="C599" s="20"/>
      <c r="D599" s="52"/>
      <c r="E599" s="20"/>
      <c r="F599" s="20"/>
      <c r="G599" s="20"/>
      <c r="H599" s="20"/>
      <c r="I599" s="20"/>
      <c r="J599" s="20"/>
      <c r="K599" s="20"/>
      <c r="L599" s="19"/>
      <c r="M599" s="47"/>
      <c r="N599" s="20"/>
    </row>
    <row r="600" ht="22.5" customHeight="1">
      <c r="A600" s="20"/>
      <c r="B600" s="20"/>
      <c r="C600" s="20"/>
      <c r="D600" s="52"/>
      <c r="E600" s="20"/>
      <c r="F600" s="20"/>
      <c r="G600" s="20"/>
      <c r="H600" s="20"/>
      <c r="I600" s="20"/>
      <c r="J600" s="20"/>
      <c r="K600" s="20"/>
      <c r="L600" s="19"/>
      <c r="M600" s="47"/>
      <c r="N600" s="20"/>
    </row>
    <row r="601" ht="22.5" customHeight="1">
      <c r="A601" s="20"/>
      <c r="B601" s="20"/>
      <c r="C601" s="20"/>
      <c r="D601" s="52"/>
      <c r="E601" s="20"/>
      <c r="F601" s="20"/>
      <c r="G601" s="20"/>
      <c r="H601" s="20"/>
      <c r="I601" s="20"/>
      <c r="J601" s="20"/>
      <c r="K601" s="20"/>
      <c r="L601" s="19"/>
      <c r="M601" s="47"/>
      <c r="N601" s="20"/>
    </row>
    <row r="602" ht="22.5" customHeight="1">
      <c r="A602" s="20"/>
      <c r="B602" s="20"/>
      <c r="C602" s="20"/>
      <c r="D602" s="52"/>
      <c r="E602" s="20"/>
      <c r="F602" s="20"/>
      <c r="G602" s="20"/>
      <c r="H602" s="20"/>
      <c r="I602" s="20"/>
      <c r="J602" s="20"/>
      <c r="K602" s="20"/>
      <c r="L602" s="19"/>
      <c r="M602" s="47"/>
      <c r="N602" s="20"/>
    </row>
    <row r="603" ht="22.5" customHeight="1">
      <c r="A603" s="20"/>
      <c r="B603" s="20"/>
      <c r="C603" s="20"/>
      <c r="D603" s="52"/>
      <c r="E603" s="20"/>
      <c r="F603" s="20"/>
      <c r="G603" s="20"/>
      <c r="H603" s="20"/>
      <c r="I603" s="20"/>
      <c r="J603" s="20"/>
      <c r="K603" s="20"/>
      <c r="L603" s="19"/>
      <c r="M603" s="47"/>
      <c r="N603" s="20"/>
    </row>
    <row r="604" ht="22.5" customHeight="1">
      <c r="A604" s="20"/>
      <c r="B604" s="20"/>
      <c r="C604" s="20"/>
      <c r="D604" s="52"/>
      <c r="E604" s="20"/>
      <c r="F604" s="20"/>
      <c r="G604" s="20"/>
      <c r="H604" s="20"/>
      <c r="I604" s="20"/>
      <c r="J604" s="20"/>
      <c r="K604" s="20"/>
      <c r="L604" s="19"/>
      <c r="M604" s="47"/>
      <c r="N604" s="20"/>
    </row>
    <row r="605" ht="22.5" customHeight="1">
      <c r="A605" s="20"/>
      <c r="B605" s="20"/>
      <c r="C605" s="20"/>
      <c r="D605" s="52"/>
      <c r="E605" s="20"/>
      <c r="F605" s="20"/>
      <c r="G605" s="20"/>
      <c r="H605" s="20"/>
      <c r="I605" s="20"/>
      <c r="J605" s="20"/>
      <c r="K605" s="20"/>
      <c r="L605" s="19"/>
      <c r="M605" s="47"/>
      <c r="N605" s="20"/>
    </row>
    <row r="606" ht="22.5" customHeight="1">
      <c r="A606" s="20"/>
      <c r="B606" s="20"/>
      <c r="C606" s="20"/>
      <c r="D606" s="52"/>
      <c r="E606" s="20"/>
      <c r="F606" s="20"/>
      <c r="G606" s="20"/>
      <c r="H606" s="20"/>
      <c r="I606" s="20"/>
      <c r="J606" s="20"/>
      <c r="K606" s="20"/>
      <c r="L606" s="19"/>
      <c r="M606" s="47"/>
      <c r="N606" s="20"/>
    </row>
    <row r="607" ht="22.5" customHeight="1">
      <c r="A607" s="20"/>
      <c r="B607" s="20"/>
      <c r="C607" s="20"/>
      <c r="D607" s="52"/>
      <c r="E607" s="20"/>
      <c r="F607" s="20"/>
      <c r="G607" s="20"/>
      <c r="H607" s="20"/>
      <c r="I607" s="20"/>
      <c r="J607" s="20"/>
      <c r="K607" s="20"/>
      <c r="L607" s="19"/>
      <c r="M607" s="47"/>
      <c r="N607" s="20"/>
    </row>
    <row r="608" ht="22.5" customHeight="1">
      <c r="A608" s="20"/>
      <c r="B608" s="20"/>
      <c r="C608" s="20"/>
      <c r="D608" s="52"/>
      <c r="E608" s="20"/>
      <c r="F608" s="20"/>
      <c r="G608" s="20"/>
      <c r="H608" s="20"/>
      <c r="I608" s="20"/>
      <c r="J608" s="20"/>
      <c r="K608" s="20"/>
      <c r="L608" s="19"/>
      <c r="M608" s="47"/>
      <c r="N608" s="20"/>
    </row>
    <row r="609" ht="22.5" customHeight="1">
      <c r="A609" s="20"/>
      <c r="B609" s="20"/>
      <c r="C609" s="20"/>
      <c r="D609" s="52"/>
      <c r="E609" s="20"/>
      <c r="F609" s="20"/>
      <c r="G609" s="20"/>
      <c r="H609" s="20"/>
      <c r="I609" s="20"/>
      <c r="J609" s="20"/>
      <c r="K609" s="20"/>
      <c r="L609" s="19"/>
      <c r="M609" s="47"/>
      <c r="N609" s="20"/>
    </row>
    <row r="610" ht="22.5" customHeight="1">
      <c r="A610" s="20"/>
      <c r="B610" s="20"/>
      <c r="C610" s="20"/>
      <c r="D610" s="52"/>
      <c r="E610" s="20"/>
      <c r="F610" s="20"/>
      <c r="G610" s="20"/>
      <c r="H610" s="20"/>
      <c r="I610" s="20"/>
      <c r="J610" s="20"/>
      <c r="K610" s="20"/>
      <c r="L610" s="19"/>
      <c r="M610" s="47"/>
      <c r="N610" s="20"/>
    </row>
    <row r="611" ht="22.5" customHeight="1">
      <c r="A611" s="20"/>
      <c r="B611" s="20"/>
      <c r="C611" s="20"/>
      <c r="D611" s="52"/>
      <c r="E611" s="20"/>
      <c r="F611" s="20"/>
      <c r="G611" s="20"/>
      <c r="H611" s="20"/>
      <c r="I611" s="20"/>
      <c r="J611" s="20"/>
      <c r="K611" s="20"/>
      <c r="L611" s="19"/>
      <c r="M611" s="47"/>
      <c r="N611" s="20"/>
    </row>
    <row r="612" ht="22.5" customHeight="1">
      <c r="A612" s="20"/>
      <c r="B612" s="20"/>
      <c r="C612" s="20"/>
      <c r="D612" s="52"/>
      <c r="E612" s="20"/>
      <c r="F612" s="20"/>
      <c r="G612" s="20"/>
      <c r="H612" s="20"/>
      <c r="I612" s="20"/>
      <c r="J612" s="20"/>
      <c r="K612" s="20"/>
      <c r="L612" s="19"/>
      <c r="M612" s="47"/>
      <c r="N612" s="20"/>
    </row>
    <row r="613" ht="22.5" customHeight="1">
      <c r="A613" s="20"/>
      <c r="B613" s="20"/>
      <c r="C613" s="20"/>
      <c r="D613" s="52"/>
      <c r="E613" s="20"/>
      <c r="F613" s="20"/>
      <c r="G613" s="20"/>
      <c r="H613" s="20"/>
      <c r="I613" s="20"/>
      <c r="J613" s="20"/>
      <c r="K613" s="20"/>
      <c r="L613" s="19"/>
      <c r="M613" s="47"/>
      <c r="N613" s="20"/>
    </row>
    <row r="614" ht="22.5" customHeight="1">
      <c r="A614" s="20"/>
      <c r="B614" s="20"/>
      <c r="C614" s="20"/>
      <c r="D614" s="52"/>
      <c r="E614" s="20"/>
      <c r="F614" s="20"/>
      <c r="G614" s="20"/>
      <c r="H614" s="20"/>
      <c r="I614" s="20"/>
      <c r="J614" s="20"/>
      <c r="K614" s="20"/>
      <c r="L614" s="19"/>
      <c r="M614" s="47"/>
      <c r="N614" s="20"/>
    </row>
    <row r="615" ht="22.5" customHeight="1">
      <c r="A615" s="20"/>
      <c r="B615" s="20"/>
      <c r="C615" s="20"/>
      <c r="D615" s="52"/>
      <c r="E615" s="20"/>
      <c r="F615" s="20"/>
      <c r="G615" s="20"/>
      <c r="H615" s="20"/>
      <c r="I615" s="20"/>
      <c r="J615" s="20"/>
      <c r="K615" s="20"/>
      <c r="L615" s="19"/>
      <c r="M615" s="47"/>
      <c r="N615" s="20"/>
    </row>
    <row r="616" ht="22.5" customHeight="1">
      <c r="A616" s="20"/>
      <c r="B616" s="20"/>
      <c r="C616" s="20"/>
      <c r="D616" s="52"/>
      <c r="E616" s="20"/>
      <c r="F616" s="20"/>
      <c r="G616" s="20"/>
      <c r="H616" s="20"/>
      <c r="I616" s="20"/>
      <c r="J616" s="20"/>
      <c r="K616" s="20"/>
      <c r="L616" s="19"/>
      <c r="M616" s="47"/>
      <c r="N616" s="20"/>
    </row>
    <row r="617" ht="22.5" customHeight="1">
      <c r="A617" s="20"/>
      <c r="B617" s="20"/>
      <c r="C617" s="20"/>
      <c r="D617" s="52"/>
      <c r="E617" s="20"/>
      <c r="F617" s="20"/>
      <c r="G617" s="20"/>
      <c r="H617" s="20"/>
      <c r="I617" s="20"/>
      <c r="J617" s="20"/>
      <c r="K617" s="20"/>
      <c r="L617" s="19"/>
      <c r="M617" s="47"/>
      <c r="N617" s="20"/>
    </row>
    <row r="618" ht="22.5" customHeight="1">
      <c r="A618" s="20"/>
      <c r="B618" s="20"/>
      <c r="C618" s="20"/>
      <c r="D618" s="52"/>
      <c r="E618" s="20"/>
      <c r="F618" s="20"/>
      <c r="G618" s="20"/>
      <c r="H618" s="20"/>
      <c r="I618" s="20"/>
      <c r="J618" s="20"/>
      <c r="K618" s="20"/>
      <c r="L618" s="19"/>
      <c r="M618" s="47"/>
      <c r="N618" s="20"/>
    </row>
    <row r="619" ht="22.5" customHeight="1">
      <c r="A619" s="20"/>
      <c r="B619" s="20"/>
      <c r="C619" s="20"/>
      <c r="D619" s="52"/>
      <c r="E619" s="20"/>
      <c r="F619" s="20"/>
      <c r="G619" s="20"/>
      <c r="H619" s="20"/>
      <c r="I619" s="20"/>
      <c r="J619" s="20"/>
      <c r="K619" s="20"/>
      <c r="L619" s="19"/>
      <c r="M619" s="47"/>
      <c r="N619" s="20"/>
    </row>
    <row r="620" ht="22.5" customHeight="1">
      <c r="A620" s="20"/>
      <c r="B620" s="20"/>
      <c r="C620" s="20"/>
      <c r="D620" s="52"/>
      <c r="E620" s="20"/>
      <c r="F620" s="20"/>
      <c r="G620" s="20"/>
      <c r="H620" s="20"/>
      <c r="I620" s="20"/>
      <c r="J620" s="20"/>
      <c r="K620" s="20"/>
      <c r="L620" s="19"/>
      <c r="M620" s="47"/>
      <c r="N620" s="20"/>
    </row>
    <row r="621" ht="22.5" customHeight="1">
      <c r="A621" s="20"/>
      <c r="B621" s="20"/>
      <c r="C621" s="20"/>
      <c r="D621" s="52"/>
      <c r="E621" s="20"/>
      <c r="F621" s="20"/>
      <c r="G621" s="20"/>
      <c r="H621" s="20"/>
      <c r="I621" s="20"/>
      <c r="J621" s="20"/>
      <c r="K621" s="20"/>
      <c r="L621" s="19"/>
      <c r="M621" s="47"/>
      <c r="N621" s="20"/>
    </row>
    <row r="622" ht="22.5" customHeight="1">
      <c r="A622" s="20"/>
      <c r="B622" s="20"/>
      <c r="C622" s="20"/>
      <c r="D622" s="52"/>
      <c r="E622" s="20"/>
      <c r="F622" s="20"/>
      <c r="G622" s="20"/>
      <c r="H622" s="20"/>
      <c r="I622" s="20"/>
      <c r="J622" s="20"/>
      <c r="K622" s="20"/>
      <c r="L622" s="19"/>
      <c r="M622" s="47"/>
      <c r="N622" s="20"/>
    </row>
    <row r="623" ht="22.5" customHeight="1">
      <c r="A623" s="20"/>
      <c r="B623" s="20"/>
      <c r="C623" s="20"/>
      <c r="D623" s="52"/>
      <c r="E623" s="20"/>
      <c r="F623" s="20"/>
      <c r="G623" s="20"/>
      <c r="H623" s="20"/>
      <c r="I623" s="20"/>
      <c r="J623" s="20"/>
      <c r="K623" s="20"/>
      <c r="L623" s="19"/>
      <c r="M623" s="47"/>
      <c r="N623" s="20"/>
    </row>
    <row r="624" ht="22.5" customHeight="1">
      <c r="A624" s="20"/>
      <c r="B624" s="20"/>
      <c r="C624" s="20"/>
      <c r="D624" s="52"/>
      <c r="E624" s="20"/>
      <c r="F624" s="20"/>
      <c r="G624" s="20"/>
      <c r="H624" s="20"/>
      <c r="I624" s="20"/>
      <c r="J624" s="20"/>
      <c r="K624" s="20"/>
      <c r="L624" s="19"/>
      <c r="M624" s="47"/>
      <c r="N624" s="20"/>
    </row>
    <row r="625" ht="22.5" customHeight="1">
      <c r="A625" s="20"/>
      <c r="B625" s="20"/>
      <c r="C625" s="20"/>
      <c r="D625" s="52"/>
      <c r="E625" s="20"/>
      <c r="F625" s="20"/>
      <c r="G625" s="20"/>
      <c r="H625" s="20"/>
      <c r="I625" s="20"/>
      <c r="J625" s="20"/>
      <c r="K625" s="20"/>
      <c r="L625" s="19"/>
      <c r="M625" s="47"/>
      <c r="N625" s="20"/>
    </row>
    <row r="626" ht="22.5" customHeight="1">
      <c r="A626" s="20"/>
      <c r="B626" s="20"/>
      <c r="C626" s="20"/>
      <c r="D626" s="52"/>
      <c r="E626" s="20"/>
      <c r="F626" s="20"/>
      <c r="G626" s="20"/>
      <c r="H626" s="20"/>
      <c r="I626" s="20"/>
      <c r="J626" s="20"/>
      <c r="K626" s="20"/>
      <c r="L626" s="19"/>
      <c r="M626" s="47"/>
      <c r="N626" s="20"/>
    </row>
    <row r="627" ht="22.5" customHeight="1">
      <c r="A627" s="20"/>
      <c r="B627" s="20"/>
      <c r="C627" s="20"/>
      <c r="D627" s="52"/>
      <c r="E627" s="20"/>
      <c r="F627" s="20"/>
      <c r="G627" s="20"/>
      <c r="H627" s="20"/>
      <c r="I627" s="20"/>
      <c r="J627" s="20"/>
      <c r="K627" s="20"/>
      <c r="L627" s="19"/>
      <c r="M627" s="47"/>
      <c r="N627" s="20"/>
    </row>
    <row r="628" ht="22.5" customHeight="1">
      <c r="A628" s="20"/>
      <c r="B628" s="20"/>
      <c r="C628" s="20"/>
      <c r="D628" s="52"/>
      <c r="E628" s="20"/>
      <c r="F628" s="20"/>
      <c r="G628" s="20"/>
      <c r="H628" s="20"/>
      <c r="I628" s="20"/>
      <c r="J628" s="20"/>
      <c r="K628" s="20"/>
      <c r="L628" s="19"/>
      <c r="M628" s="47"/>
      <c r="N628" s="20"/>
    </row>
    <row r="629" ht="22.5" customHeight="1">
      <c r="A629" s="20"/>
      <c r="B629" s="20"/>
      <c r="C629" s="20"/>
      <c r="D629" s="52"/>
      <c r="E629" s="20"/>
      <c r="F629" s="20"/>
      <c r="G629" s="20"/>
      <c r="H629" s="20"/>
      <c r="I629" s="20"/>
      <c r="J629" s="20"/>
      <c r="K629" s="20"/>
      <c r="L629" s="19"/>
      <c r="M629" s="47"/>
      <c r="N629" s="20"/>
    </row>
    <row r="630" ht="22.5" customHeight="1">
      <c r="A630" s="20"/>
      <c r="B630" s="20"/>
      <c r="C630" s="20"/>
      <c r="D630" s="52"/>
      <c r="E630" s="20"/>
      <c r="F630" s="20"/>
      <c r="G630" s="20"/>
      <c r="H630" s="20"/>
      <c r="I630" s="20"/>
      <c r="J630" s="20"/>
      <c r="K630" s="20"/>
      <c r="L630" s="19"/>
      <c r="M630" s="47"/>
      <c r="N630" s="20"/>
    </row>
    <row r="631" ht="22.5" customHeight="1">
      <c r="A631" s="20"/>
      <c r="B631" s="20"/>
      <c r="C631" s="20"/>
      <c r="D631" s="52"/>
      <c r="E631" s="20"/>
      <c r="F631" s="20"/>
      <c r="G631" s="20"/>
      <c r="H631" s="20"/>
      <c r="I631" s="20"/>
      <c r="J631" s="20"/>
      <c r="K631" s="20"/>
      <c r="L631" s="19"/>
      <c r="M631" s="47"/>
      <c r="N631" s="20"/>
    </row>
    <row r="632" ht="22.5" customHeight="1">
      <c r="A632" s="20"/>
      <c r="B632" s="20"/>
      <c r="C632" s="20"/>
      <c r="D632" s="52"/>
      <c r="E632" s="20"/>
      <c r="F632" s="20"/>
      <c r="G632" s="20"/>
      <c r="H632" s="20"/>
      <c r="I632" s="20"/>
      <c r="J632" s="20"/>
      <c r="K632" s="20"/>
      <c r="L632" s="19"/>
      <c r="M632" s="47"/>
      <c r="N632" s="20"/>
    </row>
    <row r="633" ht="22.5" customHeight="1">
      <c r="A633" s="20"/>
      <c r="B633" s="20"/>
      <c r="C633" s="20"/>
      <c r="D633" s="52"/>
      <c r="E633" s="20"/>
      <c r="F633" s="20"/>
      <c r="G633" s="20"/>
      <c r="H633" s="20"/>
      <c r="I633" s="20"/>
      <c r="J633" s="20"/>
      <c r="K633" s="20"/>
      <c r="L633" s="19"/>
      <c r="M633" s="47"/>
      <c r="N633" s="20"/>
    </row>
    <row r="634" ht="22.5" customHeight="1">
      <c r="A634" s="20"/>
      <c r="B634" s="20"/>
      <c r="C634" s="20"/>
      <c r="D634" s="52"/>
      <c r="E634" s="20"/>
      <c r="F634" s="20"/>
      <c r="G634" s="20"/>
      <c r="H634" s="20"/>
      <c r="I634" s="20"/>
      <c r="J634" s="20"/>
      <c r="K634" s="20"/>
      <c r="L634" s="19"/>
      <c r="M634" s="47"/>
      <c r="N634" s="20"/>
    </row>
    <row r="635" ht="22.5" customHeight="1">
      <c r="A635" s="20"/>
      <c r="B635" s="20"/>
      <c r="C635" s="20"/>
      <c r="D635" s="52"/>
      <c r="E635" s="20"/>
      <c r="F635" s="20"/>
      <c r="G635" s="20"/>
      <c r="H635" s="20"/>
      <c r="I635" s="20"/>
      <c r="J635" s="20"/>
      <c r="K635" s="20"/>
      <c r="L635" s="19"/>
      <c r="M635" s="47"/>
      <c r="N635" s="20"/>
    </row>
    <row r="636" ht="22.5" customHeight="1">
      <c r="A636" s="20"/>
      <c r="B636" s="20"/>
      <c r="C636" s="20"/>
      <c r="D636" s="52"/>
      <c r="E636" s="20"/>
      <c r="F636" s="20"/>
      <c r="G636" s="20"/>
      <c r="H636" s="20"/>
      <c r="I636" s="20"/>
      <c r="J636" s="20"/>
      <c r="K636" s="20"/>
      <c r="L636" s="19"/>
      <c r="M636" s="47"/>
      <c r="N636" s="20"/>
    </row>
    <row r="637" ht="22.5" customHeight="1">
      <c r="A637" s="20"/>
      <c r="B637" s="20"/>
      <c r="C637" s="20"/>
      <c r="D637" s="52"/>
      <c r="E637" s="20"/>
      <c r="F637" s="20"/>
      <c r="G637" s="20"/>
      <c r="H637" s="20"/>
      <c r="I637" s="20"/>
      <c r="J637" s="20"/>
      <c r="K637" s="20"/>
      <c r="L637" s="19"/>
      <c r="M637" s="47"/>
      <c r="N637" s="20"/>
    </row>
    <row r="638" ht="22.5" customHeight="1">
      <c r="A638" s="20"/>
      <c r="B638" s="20"/>
      <c r="C638" s="20"/>
      <c r="D638" s="52"/>
      <c r="E638" s="20"/>
      <c r="F638" s="20"/>
      <c r="G638" s="20"/>
      <c r="H638" s="20"/>
      <c r="I638" s="20"/>
      <c r="J638" s="20"/>
      <c r="K638" s="20"/>
      <c r="L638" s="19"/>
      <c r="M638" s="47"/>
      <c r="N638" s="20"/>
    </row>
    <row r="639" ht="22.5" customHeight="1">
      <c r="A639" s="20"/>
      <c r="B639" s="20"/>
      <c r="C639" s="20"/>
      <c r="D639" s="52"/>
      <c r="E639" s="20"/>
      <c r="F639" s="20"/>
      <c r="G639" s="20"/>
      <c r="H639" s="20"/>
      <c r="I639" s="20"/>
      <c r="J639" s="20"/>
      <c r="K639" s="20"/>
      <c r="L639" s="19"/>
      <c r="M639" s="47"/>
      <c r="N639" s="20"/>
    </row>
    <row r="640" ht="22.5" customHeight="1">
      <c r="A640" s="20"/>
      <c r="B640" s="20"/>
      <c r="C640" s="20"/>
      <c r="D640" s="52"/>
      <c r="E640" s="20"/>
      <c r="F640" s="20"/>
      <c r="G640" s="20"/>
      <c r="H640" s="20"/>
      <c r="I640" s="20"/>
      <c r="J640" s="20"/>
      <c r="K640" s="20"/>
      <c r="L640" s="19"/>
      <c r="M640" s="47"/>
      <c r="N640" s="20"/>
    </row>
    <row r="641" ht="22.5" customHeight="1">
      <c r="A641" s="20"/>
      <c r="B641" s="20"/>
      <c r="C641" s="20"/>
      <c r="D641" s="52"/>
      <c r="E641" s="20"/>
      <c r="F641" s="20"/>
      <c r="G641" s="20"/>
      <c r="H641" s="20"/>
      <c r="I641" s="20"/>
      <c r="J641" s="20"/>
      <c r="K641" s="20"/>
      <c r="L641" s="19"/>
      <c r="M641" s="47"/>
      <c r="N641" s="20"/>
    </row>
    <row r="642" ht="22.5" customHeight="1">
      <c r="A642" s="20"/>
      <c r="B642" s="20"/>
      <c r="C642" s="20"/>
      <c r="D642" s="52"/>
      <c r="E642" s="20"/>
      <c r="F642" s="20"/>
      <c r="G642" s="20"/>
      <c r="H642" s="20"/>
      <c r="I642" s="20"/>
      <c r="J642" s="20"/>
      <c r="K642" s="20"/>
      <c r="L642" s="19"/>
      <c r="M642" s="47"/>
      <c r="N642" s="20"/>
    </row>
    <row r="643" ht="22.5" customHeight="1">
      <c r="A643" s="20"/>
      <c r="B643" s="20"/>
      <c r="C643" s="20"/>
      <c r="D643" s="52"/>
      <c r="E643" s="20"/>
      <c r="F643" s="20"/>
      <c r="G643" s="20"/>
      <c r="H643" s="20"/>
      <c r="I643" s="20"/>
      <c r="J643" s="20"/>
      <c r="K643" s="20"/>
      <c r="L643" s="19"/>
      <c r="M643" s="47"/>
      <c r="N643" s="20"/>
    </row>
    <row r="644" ht="22.5" customHeight="1">
      <c r="A644" s="20"/>
      <c r="B644" s="20"/>
      <c r="C644" s="20"/>
      <c r="D644" s="52"/>
      <c r="E644" s="20"/>
      <c r="F644" s="20"/>
      <c r="G644" s="20"/>
      <c r="H644" s="20"/>
      <c r="I644" s="20"/>
      <c r="J644" s="20"/>
      <c r="K644" s="20"/>
      <c r="L644" s="19"/>
      <c r="M644" s="47"/>
      <c r="N644" s="20"/>
    </row>
    <row r="645" ht="22.5" customHeight="1">
      <c r="A645" s="20"/>
      <c r="B645" s="20"/>
      <c r="C645" s="20"/>
      <c r="D645" s="52"/>
      <c r="E645" s="20"/>
      <c r="F645" s="20"/>
      <c r="G645" s="20"/>
      <c r="H645" s="20"/>
      <c r="I645" s="20"/>
      <c r="J645" s="20"/>
      <c r="K645" s="20"/>
      <c r="L645" s="19"/>
      <c r="M645" s="47"/>
      <c r="N645" s="20"/>
    </row>
    <row r="646" ht="22.5" customHeight="1">
      <c r="A646" s="20"/>
      <c r="B646" s="20"/>
      <c r="C646" s="20"/>
      <c r="D646" s="52"/>
      <c r="E646" s="20"/>
      <c r="F646" s="20"/>
      <c r="G646" s="20"/>
      <c r="H646" s="20"/>
      <c r="I646" s="20"/>
      <c r="J646" s="20"/>
      <c r="K646" s="20"/>
      <c r="L646" s="19"/>
      <c r="M646" s="47"/>
      <c r="N646" s="20"/>
    </row>
    <row r="647" ht="22.5" customHeight="1">
      <c r="A647" s="20"/>
      <c r="B647" s="20"/>
      <c r="C647" s="20"/>
      <c r="D647" s="52"/>
      <c r="E647" s="20"/>
      <c r="F647" s="20"/>
      <c r="G647" s="20"/>
      <c r="H647" s="20"/>
      <c r="I647" s="20"/>
      <c r="J647" s="20"/>
      <c r="K647" s="20"/>
      <c r="L647" s="19"/>
      <c r="M647" s="47"/>
      <c r="N647" s="20"/>
    </row>
    <row r="648" ht="22.5" customHeight="1">
      <c r="A648" s="20"/>
      <c r="B648" s="20"/>
      <c r="C648" s="20"/>
      <c r="D648" s="52"/>
      <c r="E648" s="20"/>
      <c r="F648" s="20"/>
      <c r="G648" s="20"/>
      <c r="H648" s="20"/>
      <c r="I648" s="20"/>
      <c r="J648" s="20"/>
      <c r="K648" s="20"/>
      <c r="L648" s="19"/>
      <c r="M648" s="47"/>
      <c r="N648" s="20"/>
    </row>
    <row r="649" ht="22.5" customHeight="1">
      <c r="A649" s="20"/>
      <c r="B649" s="20"/>
      <c r="C649" s="20"/>
      <c r="D649" s="52"/>
      <c r="E649" s="20"/>
      <c r="F649" s="20"/>
      <c r="G649" s="20"/>
      <c r="H649" s="20"/>
      <c r="I649" s="20"/>
      <c r="J649" s="20"/>
      <c r="K649" s="20"/>
      <c r="L649" s="19"/>
      <c r="M649" s="47"/>
      <c r="N649" s="20"/>
    </row>
    <row r="650" ht="22.5" customHeight="1">
      <c r="A650" s="20"/>
      <c r="B650" s="20"/>
      <c r="C650" s="20"/>
      <c r="D650" s="52"/>
      <c r="E650" s="20"/>
      <c r="F650" s="20"/>
      <c r="G650" s="20"/>
      <c r="H650" s="20"/>
      <c r="I650" s="20"/>
      <c r="J650" s="20"/>
      <c r="K650" s="20"/>
      <c r="L650" s="19"/>
      <c r="M650" s="47"/>
      <c r="N650" s="20"/>
    </row>
    <row r="651" ht="22.5" customHeight="1">
      <c r="A651" s="20"/>
      <c r="B651" s="20"/>
      <c r="C651" s="20"/>
      <c r="D651" s="52"/>
      <c r="E651" s="20"/>
      <c r="F651" s="20"/>
      <c r="G651" s="20"/>
      <c r="H651" s="20"/>
      <c r="I651" s="20"/>
      <c r="J651" s="20"/>
      <c r="K651" s="20"/>
      <c r="L651" s="19"/>
      <c r="M651" s="47"/>
      <c r="N651" s="20"/>
    </row>
    <row r="652" ht="22.5" customHeight="1">
      <c r="A652" s="20"/>
      <c r="B652" s="20"/>
      <c r="C652" s="20"/>
      <c r="D652" s="52"/>
      <c r="E652" s="20"/>
      <c r="F652" s="20"/>
      <c r="G652" s="20"/>
      <c r="H652" s="20"/>
      <c r="I652" s="20"/>
      <c r="J652" s="20"/>
      <c r="K652" s="20"/>
      <c r="L652" s="19"/>
      <c r="M652" s="47"/>
      <c r="N652" s="20"/>
    </row>
    <row r="653" ht="22.5" customHeight="1">
      <c r="A653" s="20"/>
      <c r="B653" s="20"/>
      <c r="C653" s="20"/>
      <c r="D653" s="52"/>
      <c r="E653" s="20"/>
      <c r="F653" s="20"/>
      <c r="G653" s="20"/>
      <c r="H653" s="20"/>
      <c r="I653" s="20"/>
      <c r="J653" s="20"/>
      <c r="K653" s="20"/>
      <c r="L653" s="19"/>
      <c r="M653" s="47"/>
      <c r="N653" s="20"/>
    </row>
    <row r="654" ht="22.5" customHeight="1">
      <c r="A654" s="20"/>
      <c r="B654" s="20"/>
      <c r="C654" s="20"/>
      <c r="D654" s="52"/>
      <c r="E654" s="20"/>
      <c r="F654" s="20"/>
      <c r="G654" s="20"/>
      <c r="H654" s="20"/>
      <c r="I654" s="20"/>
      <c r="J654" s="20"/>
      <c r="K654" s="20"/>
      <c r="L654" s="19"/>
      <c r="M654" s="47"/>
      <c r="N654" s="20"/>
    </row>
    <row r="655" ht="22.5" customHeight="1">
      <c r="A655" s="20"/>
      <c r="B655" s="20"/>
      <c r="C655" s="20"/>
      <c r="D655" s="52"/>
      <c r="E655" s="20"/>
      <c r="F655" s="20"/>
      <c r="G655" s="20"/>
      <c r="H655" s="20"/>
      <c r="I655" s="20"/>
      <c r="J655" s="20"/>
      <c r="K655" s="20"/>
      <c r="L655" s="19"/>
      <c r="M655" s="47"/>
      <c r="N655" s="20"/>
    </row>
    <row r="656" ht="22.5" customHeight="1">
      <c r="A656" s="20"/>
      <c r="B656" s="20"/>
      <c r="C656" s="20"/>
      <c r="D656" s="52"/>
      <c r="E656" s="20"/>
      <c r="F656" s="20"/>
      <c r="G656" s="20"/>
      <c r="H656" s="20"/>
      <c r="I656" s="20"/>
      <c r="J656" s="20"/>
      <c r="K656" s="20"/>
      <c r="L656" s="19"/>
      <c r="M656" s="47"/>
      <c r="N656" s="20"/>
    </row>
    <row r="657" ht="22.5" customHeight="1">
      <c r="A657" s="20"/>
      <c r="B657" s="20"/>
      <c r="C657" s="20"/>
      <c r="D657" s="52"/>
      <c r="E657" s="20"/>
      <c r="F657" s="20"/>
      <c r="G657" s="20"/>
      <c r="H657" s="20"/>
      <c r="I657" s="20"/>
      <c r="J657" s="20"/>
      <c r="K657" s="20"/>
      <c r="L657" s="19"/>
      <c r="M657" s="47"/>
      <c r="N657" s="20"/>
    </row>
    <row r="658" ht="22.5" customHeight="1">
      <c r="A658" s="20"/>
      <c r="B658" s="20"/>
      <c r="C658" s="20"/>
      <c r="D658" s="52"/>
      <c r="E658" s="20"/>
      <c r="F658" s="20"/>
      <c r="G658" s="20"/>
      <c r="H658" s="20"/>
      <c r="I658" s="20"/>
      <c r="J658" s="20"/>
      <c r="K658" s="20"/>
      <c r="L658" s="19"/>
      <c r="M658" s="47"/>
      <c r="N658" s="20"/>
    </row>
    <row r="659" ht="22.5" customHeight="1">
      <c r="A659" s="20"/>
      <c r="B659" s="20"/>
      <c r="C659" s="20"/>
      <c r="D659" s="52"/>
      <c r="E659" s="20"/>
      <c r="F659" s="20"/>
      <c r="G659" s="20"/>
      <c r="H659" s="20"/>
      <c r="I659" s="20"/>
      <c r="J659" s="20"/>
      <c r="K659" s="20"/>
      <c r="L659" s="19"/>
      <c r="M659" s="47"/>
      <c r="N659" s="20"/>
    </row>
    <row r="660" ht="22.5" customHeight="1">
      <c r="A660" s="20"/>
      <c r="B660" s="20"/>
      <c r="C660" s="20"/>
      <c r="D660" s="52"/>
      <c r="E660" s="20"/>
      <c r="F660" s="20"/>
      <c r="G660" s="20"/>
      <c r="H660" s="20"/>
      <c r="I660" s="20"/>
      <c r="J660" s="20"/>
      <c r="K660" s="20"/>
      <c r="L660" s="19"/>
      <c r="M660" s="47"/>
      <c r="N660" s="20"/>
    </row>
    <row r="661" ht="22.5" customHeight="1">
      <c r="A661" s="20"/>
      <c r="B661" s="20"/>
      <c r="C661" s="20"/>
      <c r="D661" s="52"/>
      <c r="E661" s="20"/>
      <c r="F661" s="20"/>
      <c r="G661" s="20"/>
      <c r="H661" s="20"/>
      <c r="I661" s="20"/>
      <c r="J661" s="20"/>
      <c r="K661" s="20"/>
      <c r="L661" s="19"/>
      <c r="M661" s="47"/>
      <c r="N661" s="20"/>
    </row>
    <row r="662" ht="22.5" customHeight="1">
      <c r="A662" s="20"/>
      <c r="B662" s="20"/>
      <c r="C662" s="20"/>
      <c r="D662" s="52"/>
      <c r="E662" s="20"/>
      <c r="F662" s="20"/>
      <c r="G662" s="20"/>
      <c r="H662" s="20"/>
      <c r="I662" s="20"/>
      <c r="J662" s="20"/>
      <c r="K662" s="20"/>
      <c r="L662" s="19"/>
      <c r="M662" s="47"/>
      <c r="N662" s="20"/>
    </row>
    <row r="663" ht="22.5" customHeight="1">
      <c r="A663" s="20"/>
      <c r="B663" s="20"/>
      <c r="C663" s="20"/>
      <c r="D663" s="52"/>
      <c r="E663" s="20"/>
      <c r="F663" s="20"/>
      <c r="G663" s="20"/>
      <c r="H663" s="20"/>
      <c r="I663" s="20"/>
      <c r="J663" s="20"/>
      <c r="K663" s="20"/>
      <c r="L663" s="19"/>
      <c r="M663" s="47"/>
      <c r="N663" s="20"/>
    </row>
    <row r="664" ht="22.5" customHeight="1">
      <c r="A664" s="20"/>
      <c r="B664" s="20"/>
      <c r="C664" s="20"/>
      <c r="D664" s="52"/>
      <c r="E664" s="20"/>
      <c r="F664" s="20"/>
      <c r="G664" s="20"/>
      <c r="H664" s="20"/>
      <c r="I664" s="20"/>
      <c r="J664" s="20"/>
      <c r="K664" s="20"/>
      <c r="L664" s="19"/>
      <c r="M664" s="47"/>
      <c r="N664" s="20"/>
    </row>
    <row r="665" ht="22.5" customHeight="1">
      <c r="A665" s="20"/>
      <c r="B665" s="20"/>
      <c r="C665" s="20"/>
      <c r="D665" s="52"/>
      <c r="E665" s="20"/>
      <c r="F665" s="20"/>
      <c r="G665" s="20"/>
      <c r="H665" s="20"/>
      <c r="I665" s="20"/>
      <c r="J665" s="20"/>
      <c r="K665" s="20"/>
      <c r="L665" s="19"/>
      <c r="M665" s="47"/>
      <c r="N665" s="20"/>
    </row>
    <row r="666" ht="22.5" customHeight="1">
      <c r="A666" s="20"/>
      <c r="B666" s="20"/>
      <c r="C666" s="20"/>
      <c r="D666" s="52"/>
      <c r="E666" s="20"/>
      <c r="F666" s="20"/>
      <c r="G666" s="20"/>
      <c r="H666" s="20"/>
      <c r="I666" s="20"/>
      <c r="J666" s="20"/>
      <c r="K666" s="20"/>
      <c r="L666" s="19"/>
      <c r="M666" s="47"/>
      <c r="N666" s="20"/>
    </row>
    <row r="667" ht="22.5" customHeight="1">
      <c r="A667" s="20"/>
      <c r="B667" s="20"/>
      <c r="C667" s="20"/>
      <c r="D667" s="52"/>
      <c r="E667" s="20"/>
      <c r="F667" s="20"/>
      <c r="G667" s="20"/>
      <c r="H667" s="20"/>
      <c r="I667" s="20"/>
      <c r="J667" s="20"/>
      <c r="K667" s="20"/>
      <c r="L667" s="19"/>
      <c r="M667" s="47"/>
      <c r="N667" s="20"/>
    </row>
    <row r="668" ht="22.5" customHeight="1">
      <c r="A668" s="20"/>
      <c r="B668" s="20"/>
      <c r="C668" s="20"/>
      <c r="D668" s="52"/>
      <c r="E668" s="20"/>
      <c r="F668" s="20"/>
      <c r="G668" s="20"/>
      <c r="H668" s="20"/>
      <c r="I668" s="20"/>
      <c r="J668" s="20"/>
      <c r="K668" s="20"/>
      <c r="L668" s="19"/>
      <c r="M668" s="47"/>
      <c r="N668" s="20"/>
    </row>
    <row r="669" ht="22.5" customHeight="1">
      <c r="A669" s="20"/>
      <c r="B669" s="20"/>
      <c r="C669" s="20"/>
      <c r="D669" s="52"/>
      <c r="E669" s="20"/>
      <c r="F669" s="20"/>
      <c r="G669" s="20"/>
      <c r="H669" s="20"/>
      <c r="I669" s="20"/>
      <c r="J669" s="20"/>
      <c r="K669" s="20"/>
      <c r="L669" s="19"/>
      <c r="M669" s="47"/>
      <c r="N669" s="20"/>
    </row>
    <row r="670" ht="22.5" customHeight="1">
      <c r="A670" s="20"/>
      <c r="B670" s="20"/>
      <c r="C670" s="20"/>
      <c r="D670" s="52"/>
      <c r="E670" s="20"/>
      <c r="F670" s="20"/>
      <c r="G670" s="20"/>
      <c r="H670" s="20"/>
      <c r="I670" s="20"/>
      <c r="J670" s="20"/>
      <c r="K670" s="20"/>
      <c r="L670" s="19"/>
      <c r="M670" s="47"/>
      <c r="N670" s="20"/>
    </row>
    <row r="671" ht="22.5" customHeight="1">
      <c r="A671" s="20"/>
      <c r="B671" s="20"/>
      <c r="C671" s="20"/>
      <c r="D671" s="52"/>
      <c r="E671" s="20"/>
      <c r="F671" s="20"/>
      <c r="G671" s="20"/>
      <c r="H671" s="20"/>
      <c r="I671" s="20"/>
      <c r="J671" s="20"/>
      <c r="K671" s="20"/>
      <c r="L671" s="19"/>
      <c r="M671" s="47"/>
      <c r="N671" s="20"/>
    </row>
    <row r="672" ht="22.5" customHeight="1">
      <c r="A672" s="20"/>
      <c r="B672" s="20"/>
      <c r="C672" s="20"/>
      <c r="D672" s="52"/>
      <c r="E672" s="20"/>
      <c r="F672" s="20"/>
      <c r="G672" s="20"/>
      <c r="H672" s="20"/>
      <c r="I672" s="20"/>
      <c r="J672" s="20"/>
      <c r="K672" s="20"/>
      <c r="L672" s="19"/>
      <c r="M672" s="47"/>
      <c r="N672" s="20"/>
    </row>
    <row r="673" ht="22.5" customHeight="1">
      <c r="A673" s="20"/>
      <c r="B673" s="20"/>
      <c r="C673" s="20"/>
      <c r="D673" s="52"/>
      <c r="E673" s="20"/>
      <c r="F673" s="20"/>
      <c r="G673" s="20"/>
      <c r="H673" s="20"/>
      <c r="I673" s="20"/>
      <c r="J673" s="20"/>
      <c r="K673" s="20"/>
      <c r="L673" s="19"/>
      <c r="M673" s="47"/>
      <c r="N673" s="20"/>
    </row>
    <row r="674" ht="22.5" customHeight="1">
      <c r="A674" s="20"/>
      <c r="B674" s="20"/>
      <c r="C674" s="20"/>
      <c r="D674" s="52"/>
      <c r="E674" s="20"/>
      <c r="F674" s="20"/>
      <c r="G674" s="20"/>
      <c r="H674" s="20"/>
      <c r="I674" s="20"/>
      <c r="J674" s="20"/>
      <c r="K674" s="20"/>
      <c r="L674" s="19"/>
      <c r="M674" s="47"/>
      <c r="N674" s="20"/>
    </row>
    <row r="675" ht="22.5" customHeight="1">
      <c r="A675" s="20"/>
      <c r="B675" s="20"/>
      <c r="C675" s="20"/>
      <c r="D675" s="52"/>
      <c r="E675" s="20"/>
      <c r="F675" s="20"/>
      <c r="G675" s="20"/>
      <c r="H675" s="20"/>
      <c r="I675" s="20"/>
      <c r="J675" s="20"/>
      <c r="K675" s="20"/>
      <c r="L675" s="19"/>
      <c r="M675" s="47"/>
      <c r="N675" s="20"/>
    </row>
    <row r="676" ht="22.5" customHeight="1">
      <c r="A676" s="20"/>
      <c r="B676" s="20"/>
      <c r="C676" s="20"/>
      <c r="D676" s="52"/>
      <c r="E676" s="20"/>
      <c r="F676" s="20"/>
      <c r="G676" s="20"/>
      <c r="H676" s="20"/>
      <c r="I676" s="20"/>
      <c r="J676" s="20"/>
      <c r="K676" s="20"/>
      <c r="L676" s="19"/>
      <c r="M676" s="47"/>
      <c r="N676" s="20"/>
    </row>
    <row r="677" ht="22.5" customHeight="1">
      <c r="A677" s="20"/>
      <c r="B677" s="20"/>
      <c r="C677" s="20"/>
      <c r="D677" s="52"/>
      <c r="E677" s="20"/>
      <c r="F677" s="20"/>
      <c r="G677" s="20"/>
      <c r="H677" s="20"/>
      <c r="I677" s="20"/>
      <c r="J677" s="20"/>
      <c r="K677" s="20"/>
      <c r="L677" s="19"/>
      <c r="M677" s="47"/>
      <c r="N677" s="20"/>
    </row>
    <row r="678" ht="22.5" customHeight="1">
      <c r="A678" s="20"/>
      <c r="B678" s="20"/>
      <c r="C678" s="20"/>
      <c r="D678" s="52"/>
      <c r="E678" s="20"/>
      <c r="F678" s="20"/>
      <c r="G678" s="20"/>
      <c r="H678" s="20"/>
      <c r="I678" s="20"/>
      <c r="J678" s="20"/>
      <c r="K678" s="20"/>
      <c r="L678" s="19"/>
      <c r="M678" s="47"/>
      <c r="N678" s="20"/>
    </row>
    <row r="679" ht="22.5" customHeight="1">
      <c r="A679" s="20"/>
      <c r="B679" s="20"/>
      <c r="C679" s="20"/>
      <c r="D679" s="52"/>
      <c r="E679" s="20"/>
      <c r="F679" s="20"/>
      <c r="G679" s="20"/>
      <c r="H679" s="20"/>
      <c r="I679" s="20"/>
      <c r="J679" s="20"/>
      <c r="K679" s="20"/>
      <c r="L679" s="19"/>
      <c r="M679" s="47"/>
      <c r="N679" s="20"/>
    </row>
    <row r="680" ht="22.5" customHeight="1">
      <c r="A680" s="20"/>
      <c r="B680" s="20"/>
      <c r="C680" s="20"/>
      <c r="D680" s="52"/>
      <c r="E680" s="20"/>
      <c r="F680" s="20"/>
      <c r="G680" s="20"/>
      <c r="H680" s="20"/>
      <c r="I680" s="20"/>
      <c r="J680" s="20"/>
      <c r="K680" s="20"/>
      <c r="L680" s="19"/>
      <c r="M680" s="47"/>
      <c r="N680" s="20"/>
    </row>
    <row r="681" ht="22.5" customHeight="1">
      <c r="A681" s="20"/>
      <c r="B681" s="20"/>
      <c r="C681" s="20"/>
      <c r="D681" s="52"/>
      <c r="E681" s="20"/>
      <c r="F681" s="20"/>
      <c r="G681" s="20"/>
      <c r="H681" s="20"/>
      <c r="I681" s="20"/>
      <c r="J681" s="20"/>
      <c r="K681" s="20"/>
      <c r="L681" s="19"/>
      <c r="M681" s="47"/>
      <c r="N681" s="20"/>
    </row>
    <row r="682" ht="22.5" customHeight="1">
      <c r="A682" s="20"/>
      <c r="B682" s="20"/>
      <c r="C682" s="20"/>
      <c r="D682" s="52"/>
      <c r="E682" s="20"/>
      <c r="F682" s="20"/>
      <c r="G682" s="20"/>
      <c r="H682" s="20"/>
      <c r="I682" s="20"/>
      <c r="J682" s="20"/>
      <c r="K682" s="20"/>
      <c r="L682" s="19"/>
      <c r="M682" s="47"/>
      <c r="N682" s="20"/>
    </row>
    <row r="683" ht="22.5" customHeight="1">
      <c r="A683" s="20"/>
      <c r="B683" s="20"/>
      <c r="C683" s="20"/>
      <c r="D683" s="52"/>
      <c r="E683" s="20"/>
      <c r="F683" s="20"/>
      <c r="G683" s="20"/>
      <c r="H683" s="20"/>
      <c r="I683" s="20"/>
      <c r="J683" s="20"/>
      <c r="K683" s="20"/>
      <c r="L683" s="19"/>
      <c r="M683" s="47"/>
      <c r="N683" s="20"/>
    </row>
    <row r="684" ht="22.5" customHeight="1">
      <c r="A684" s="20"/>
      <c r="B684" s="20"/>
      <c r="C684" s="20"/>
      <c r="D684" s="52"/>
      <c r="E684" s="20"/>
      <c r="F684" s="20"/>
      <c r="G684" s="20"/>
      <c r="H684" s="20"/>
      <c r="I684" s="20"/>
      <c r="J684" s="20"/>
      <c r="K684" s="20"/>
      <c r="L684" s="19"/>
      <c r="M684" s="47"/>
      <c r="N684" s="20"/>
    </row>
    <row r="685" ht="22.5" customHeight="1">
      <c r="A685" s="20"/>
      <c r="B685" s="20"/>
      <c r="C685" s="20"/>
      <c r="D685" s="52"/>
      <c r="E685" s="20"/>
      <c r="F685" s="20"/>
      <c r="G685" s="20"/>
      <c r="H685" s="20"/>
      <c r="I685" s="20"/>
      <c r="J685" s="20"/>
      <c r="K685" s="20"/>
      <c r="L685" s="19"/>
      <c r="M685" s="47"/>
      <c r="N685" s="20"/>
    </row>
    <row r="686" ht="22.5" customHeight="1">
      <c r="A686" s="20"/>
      <c r="B686" s="20"/>
      <c r="C686" s="20"/>
      <c r="D686" s="52"/>
      <c r="E686" s="20"/>
      <c r="F686" s="20"/>
      <c r="G686" s="20"/>
      <c r="H686" s="20"/>
      <c r="I686" s="20"/>
      <c r="J686" s="20"/>
      <c r="K686" s="20"/>
      <c r="L686" s="19"/>
      <c r="M686" s="47"/>
      <c r="N686" s="20"/>
    </row>
    <row r="687" ht="22.5" customHeight="1">
      <c r="A687" s="20"/>
      <c r="B687" s="20"/>
      <c r="C687" s="20"/>
      <c r="D687" s="52"/>
      <c r="E687" s="20"/>
      <c r="F687" s="20"/>
      <c r="G687" s="20"/>
      <c r="H687" s="20"/>
      <c r="I687" s="20"/>
      <c r="J687" s="20"/>
      <c r="K687" s="20"/>
      <c r="L687" s="19"/>
      <c r="M687" s="47"/>
      <c r="N687" s="20"/>
    </row>
    <row r="688" ht="22.5" customHeight="1">
      <c r="A688" s="20"/>
      <c r="B688" s="20"/>
      <c r="C688" s="20"/>
      <c r="D688" s="52"/>
      <c r="E688" s="20"/>
      <c r="F688" s="20"/>
      <c r="G688" s="20"/>
      <c r="H688" s="20"/>
      <c r="I688" s="20"/>
      <c r="J688" s="20"/>
      <c r="K688" s="20"/>
      <c r="L688" s="19"/>
      <c r="M688" s="47"/>
      <c r="N688" s="20"/>
    </row>
    <row r="689" ht="22.5" customHeight="1">
      <c r="A689" s="20"/>
      <c r="B689" s="20"/>
      <c r="C689" s="20"/>
      <c r="D689" s="52"/>
      <c r="E689" s="20"/>
      <c r="F689" s="20"/>
      <c r="G689" s="20"/>
      <c r="H689" s="20"/>
      <c r="I689" s="20"/>
      <c r="J689" s="20"/>
      <c r="K689" s="20"/>
      <c r="L689" s="19"/>
      <c r="M689" s="47"/>
      <c r="N689" s="20"/>
    </row>
    <row r="690" ht="22.5" customHeight="1">
      <c r="A690" s="20"/>
      <c r="B690" s="20"/>
      <c r="C690" s="20"/>
      <c r="D690" s="52"/>
      <c r="E690" s="20"/>
      <c r="F690" s="20"/>
      <c r="G690" s="20"/>
      <c r="H690" s="20"/>
      <c r="I690" s="20"/>
      <c r="J690" s="20"/>
      <c r="K690" s="20"/>
      <c r="L690" s="19"/>
      <c r="M690" s="47"/>
      <c r="N690" s="20"/>
    </row>
    <row r="691" ht="22.5" customHeight="1">
      <c r="A691" s="20"/>
      <c r="B691" s="20"/>
      <c r="C691" s="20"/>
      <c r="D691" s="52"/>
      <c r="E691" s="20"/>
      <c r="F691" s="20"/>
      <c r="G691" s="20"/>
      <c r="H691" s="20"/>
      <c r="I691" s="20"/>
      <c r="J691" s="20"/>
      <c r="K691" s="20"/>
      <c r="L691" s="19"/>
      <c r="M691" s="47"/>
      <c r="N691" s="20"/>
    </row>
    <row r="692" ht="22.5" customHeight="1">
      <c r="A692" s="20"/>
      <c r="B692" s="20"/>
      <c r="C692" s="20"/>
      <c r="D692" s="52"/>
      <c r="E692" s="20"/>
      <c r="F692" s="20"/>
      <c r="G692" s="20"/>
      <c r="H692" s="20"/>
      <c r="I692" s="20"/>
      <c r="J692" s="20"/>
      <c r="K692" s="20"/>
      <c r="L692" s="19"/>
      <c r="M692" s="47"/>
      <c r="N692" s="20"/>
    </row>
    <row r="693" ht="22.5" customHeight="1">
      <c r="A693" s="20"/>
      <c r="B693" s="20"/>
      <c r="C693" s="20"/>
      <c r="D693" s="52"/>
      <c r="E693" s="20"/>
      <c r="F693" s="20"/>
      <c r="G693" s="20"/>
      <c r="H693" s="20"/>
      <c r="I693" s="20"/>
      <c r="J693" s="20"/>
      <c r="K693" s="20"/>
      <c r="L693" s="19"/>
      <c r="M693" s="47"/>
      <c r="N693" s="20"/>
    </row>
    <row r="694" ht="22.5" customHeight="1">
      <c r="A694" s="20"/>
      <c r="B694" s="20"/>
      <c r="C694" s="20"/>
      <c r="D694" s="52"/>
      <c r="E694" s="20"/>
      <c r="F694" s="20"/>
      <c r="G694" s="20"/>
      <c r="H694" s="20"/>
      <c r="I694" s="20"/>
      <c r="J694" s="20"/>
      <c r="K694" s="20"/>
      <c r="L694" s="19"/>
      <c r="M694" s="47"/>
      <c r="N694" s="20"/>
    </row>
    <row r="695" ht="22.5" customHeight="1">
      <c r="A695" s="20"/>
      <c r="B695" s="20"/>
      <c r="C695" s="20"/>
      <c r="D695" s="52"/>
      <c r="E695" s="20"/>
      <c r="F695" s="20"/>
      <c r="G695" s="20"/>
      <c r="H695" s="20"/>
      <c r="I695" s="20"/>
      <c r="J695" s="20"/>
      <c r="K695" s="20"/>
      <c r="L695" s="19"/>
      <c r="M695" s="47"/>
      <c r="N695" s="20"/>
    </row>
    <row r="696" ht="22.5" customHeight="1">
      <c r="A696" s="20"/>
      <c r="B696" s="20"/>
      <c r="C696" s="20"/>
      <c r="D696" s="52"/>
      <c r="E696" s="20"/>
      <c r="F696" s="20"/>
      <c r="G696" s="20"/>
      <c r="H696" s="20"/>
      <c r="I696" s="20"/>
      <c r="J696" s="20"/>
      <c r="K696" s="20"/>
      <c r="L696" s="19"/>
      <c r="M696" s="47"/>
      <c r="N696" s="20"/>
    </row>
    <row r="697" ht="22.5" customHeight="1">
      <c r="A697" s="20"/>
      <c r="B697" s="20"/>
      <c r="C697" s="20"/>
      <c r="D697" s="52"/>
      <c r="E697" s="20"/>
      <c r="F697" s="20"/>
      <c r="G697" s="20"/>
      <c r="H697" s="20"/>
      <c r="I697" s="20"/>
      <c r="J697" s="20"/>
      <c r="K697" s="20"/>
      <c r="L697" s="19"/>
      <c r="M697" s="47"/>
      <c r="N697" s="20"/>
    </row>
    <row r="698" ht="22.5" customHeight="1">
      <c r="A698" s="20"/>
      <c r="B698" s="20"/>
      <c r="C698" s="20"/>
      <c r="D698" s="52"/>
      <c r="E698" s="20"/>
      <c r="F698" s="20"/>
      <c r="G698" s="20"/>
      <c r="H698" s="20"/>
      <c r="I698" s="20"/>
      <c r="J698" s="20"/>
      <c r="K698" s="20"/>
      <c r="L698" s="19"/>
      <c r="M698" s="47"/>
      <c r="N698" s="20"/>
    </row>
    <row r="699" ht="22.5" customHeight="1">
      <c r="A699" s="20"/>
      <c r="B699" s="20"/>
      <c r="C699" s="20"/>
      <c r="D699" s="52"/>
      <c r="E699" s="20"/>
      <c r="F699" s="20"/>
      <c r="G699" s="20"/>
      <c r="H699" s="20"/>
      <c r="I699" s="20"/>
      <c r="J699" s="20"/>
      <c r="K699" s="20"/>
      <c r="L699" s="19"/>
      <c r="M699" s="47"/>
      <c r="N699" s="20"/>
    </row>
    <row r="700" ht="22.5" customHeight="1">
      <c r="A700" s="20"/>
      <c r="B700" s="20"/>
      <c r="C700" s="20"/>
      <c r="D700" s="52"/>
      <c r="E700" s="20"/>
      <c r="F700" s="20"/>
      <c r="G700" s="20"/>
      <c r="H700" s="20"/>
      <c r="I700" s="20"/>
      <c r="J700" s="20"/>
      <c r="K700" s="20"/>
      <c r="L700" s="19"/>
      <c r="M700" s="47"/>
      <c r="N700" s="20"/>
    </row>
    <row r="701" ht="22.5" customHeight="1">
      <c r="A701" s="20"/>
      <c r="B701" s="20"/>
      <c r="C701" s="20"/>
      <c r="D701" s="52"/>
      <c r="E701" s="20"/>
      <c r="F701" s="20"/>
      <c r="G701" s="20"/>
      <c r="H701" s="20"/>
      <c r="I701" s="20"/>
      <c r="J701" s="20"/>
      <c r="K701" s="20"/>
      <c r="L701" s="19"/>
      <c r="M701" s="47"/>
      <c r="N701" s="20"/>
    </row>
    <row r="702" ht="22.5" customHeight="1">
      <c r="A702" s="20"/>
      <c r="B702" s="20"/>
      <c r="C702" s="20"/>
      <c r="D702" s="52"/>
      <c r="E702" s="20"/>
      <c r="F702" s="20"/>
      <c r="G702" s="20"/>
      <c r="H702" s="20"/>
      <c r="I702" s="20"/>
      <c r="J702" s="20"/>
      <c r="K702" s="20"/>
      <c r="L702" s="19"/>
      <c r="M702" s="47"/>
      <c r="N702" s="20"/>
    </row>
    <row r="703" ht="22.5" customHeight="1">
      <c r="A703" s="20"/>
      <c r="B703" s="20"/>
      <c r="C703" s="20"/>
      <c r="D703" s="52"/>
      <c r="E703" s="20"/>
      <c r="F703" s="20"/>
      <c r="G703" s="20"/>
      <c r="H703" s="20"/>
      <c r="I703" s="20"/>
      <c r="J703" s="20"/>
      <c r="K703" s="20"/>
      <c r="L703" s="19"/>
      <c r="M703" s="47"/>
      <c r="N703" s="20"/>
    </row>
    <row r="704" ht="22.5" customHeight="1">
      <c r="A704" s="20"/>
      <c r="B704" s="20"/>
      <c r="C704" s="20"/>
      <c r="D704" s="52"/>
      <c r="E704" s="20"/>
      <c r="F704" s="20"/>
      <c r="G704" s="20"/>
      <c r="H704" s="20"/>
      <c r="I704" s="20"/>
      <c r="J704" s="20"/>
      <c r="K704" s="20"/>
      <c r="L704" s="19"/>
      <c r="M704" s="47"/>
      <c r="N704" s="20"/>
    </row>
    <row r="705" ht="22.5" customHeight="1">
      <c r="A705" s="20"/>
      <c r="B705" s="20"/>
      <c r="C705" s="20"/>
      <c r="D705" s="52"/>
      <c r="E705" s="20"/>
      <c r="F705" s="20"/>
      <c r="G705" s="20"/>
      <c r="H705" s="20"/>
      <c r="I705" s="20"/>
      <c r="J705" s="20"/>
      <c r="K705" s="20"/>
      <c r="L705" s="19"/>
      <c r="M705" s="47"/>
      <c r="N705" s="20"/>
    </row>
    <row r="706" ht="22.5" customHeight="1">
      <c r="A706" s="20"/>
      <c r="B706" s="20"/>
      <c r="C706" s="20"/>
      <c r="D706" s="52"/>
      <c r="E706" s="20"/>
      <c r="F706" s="20"/>
      <c r="G706" s="20"/>
      <c r="H706" s="20"/>
      <c r="I706" s="20"/>
      <c r="J706" s="20"/>
      <c r="K706" s="20"/>
      <c r="L706" s="19"/>
      <c r="M706" s="47"/>
      <c r="N706" s="20"/>
    </row>
    <row r="707" ht="22.5" customHeight="1">
      <c r="A707" s="20"/>
      <c r="B707" s="20"/>
      <c r="C707" s="20"/>
      <c r="D707" s="52"/>
      <c r="E707" s="20"/>
      <c r="F707" s="20"/>
      <c r="G707" s="20"/>
      <c r="H707" s="20"/>
      <c r="I707" s="20"/>
      <c r="J707" s="20"/>
      <c r="K707" s="20"/>
      <c r="L707" s="19"/>
      <c r="M707" s="47"/>
      <c r="N707" s="20"/>
    </row>
    <row r="708" ht="22.5" customHeight="1">
      <c r="A708" s="20"/>
      <c r="B708" s="20"/>
      <c r="C708" s="20"/>
      <c r="D708" s="52"/>
      <c r="E708" s="20"/>
      <c r="F708" s="20"/>
      <c r="G708" s="20"/>
      <c r="H708" s="20"/>
      <c r="I708" s="20"/>
      <c r="J708" s="20"/>
      <c r="K708" s="20"/>
      <c r="L708" s="19"/>
      <c r="M708" s="47"/>
      <c r="N708" s="20"/>
    </row>
    <row r="709" ht="22.5" customHeight="1">
      <c r="A709" s="20"/>
      <c r="B709" s="20"/>
      <c r="C709" s="20"/>
      <c r="D709" s="52"/>
      <c r="E709" s="20"/>
      <c r="F709" s="20"/>
      <c r="G709" s="20"/>
      <c r="H709" s="20"/>
      <c r="I709" s="20"/>
      <c r="J709" s="20"/>
      <c r="K709" s="20"/>
      <c r="L709" s="19"/>
      <c r="M709" s="47"/>
      <c r="N709" s="20"/>
    </row>
    <row r="710" ht="22.5" customHeight="1">
      <c r="A710" s="20"/>
      <c r="B710" s="20"/>
      <c r="C710" s="20"/>
      <c r="D710" s="52"/>
      <c r="E710" s="20"/>
      <c r="F710" s="20"/>
      <c r="G710" s="20"/>
      <c r="H710" s="20"/>
      <c r="I710" s="20"/>
      <c r="J710" s="20"/>
      <c r="K710" s="20"/>
      <c r="L710" s="19"/>
      <c r="M710" s="47"/>
      <c r="N710" s="20"/>
    </row>
    <row r="711" ht="22.5" customHeight="1">
      <c r="A711" s="20"/>
      <c r="B711" s="20"/>
      <c r="C711" s="20"/>
      <c r="D711" s="52"/>
      <c r="E711" s="20"/>
      <c r="F711" s="20"/>
      <c r="G711" s="20"/>
      <c r="H711" s="20"/>
      <c r="I711" s="20"/>
      <c r="J711" s="20"/>
      <c r="K711" s="20"/>
      <c r="L711" s="19"/>
      <c r="M711" s="47"/>
      <c r="N711" s="20"/>
    </row>
    <row r="712" ht="22.5" customHeight="1">
      <c r="A712" s="20"/>
      <c r="B712" s="20"/>
      <c r="C712" s="20"/>
      <c r="D712" s="52"/>
      <c r="E712" s="20"/>
      <c r="F712" s="20"/>
      <c r="G712" s="20"/>
      <c r="H712" s="20"/>
      <c r="I712" s="20"/>
      <c r="J712" s="20"/>
      <c r="K712" s="20"/>
      <c r="L712" s="19"/>
      <c r="M712" s="47"/>
      <c r="N712" s="20"/>
    </row>
    <row r="713" ht="22.5" customHeight="1">
      <c r="A713" s="20"/>
      <c r="B713" s="20"/>
      <c r="C713" s="20"/>
      <c r="D713" s="52"/>
      <c r="E713" s="20"/>
      <c r="F713" s="20"/>
      <c r="G713" s="20"/>
      <c r="H713" s="20"/>
      <c r="I713" s="20"/>
      <c r="J713" s="20"/>
      <c r="K713" s="20"/>
      <c r="L713" s="19"/>
      <c r="M713" s="47"/>
      <c r="N713" s="20"/>
    </row>
    <row r="714" ht="22.5" customHeight="1">
      <c r="A714" s="20"/>
      <c r="B714" s="20"/>
      <c r="C714" s="20"/>
      <c r="D714" s="52"/>
      <c r="E714" s="20"/>
      <c r="F714" s="20"/>
      <c r="G714" s="20"/>
      <c r="H714" s="20"/>
      <c r="I714" s="20"/>
      <c r="J714" s="20"/>
      <c r="K714" s="20"/>
      <c r="L714" s="19"/>
      <c r="M714" s="47"/>
      <c r="N714" s="20"/>
    </row>
    <row r="715" ht="22.5" customHeight="1">
      <c r="A715" s="20"/>
      <c r="B715" s="20"/>
      <c r="C715" s="20"/>
      <c r="D715" s="52"/>
      <c r="E715" s="20"/>
      <c r="F715" s="20"/>
      <c r="G715" s="20"/>
      <c r="H715" s="20"/>
      <c r="I715" s="20"/>
      <c r="J715" s="20"/>
      <c r="K715" s="20"/>
      <c r="L715" s="19"/>
      <c r="M715" s="47"/>
      <c r="N715" s="20"/>
    </row>
    <row r="716" ht="22.5" customHeight="1">
      <c r="A716" s="20"/>
      <c r="B716" s="20"/>
      <c r="C716" s="20"/>
      <c r="D716" s="52"/>
      <c r="E716" s="20"/>
      <c r="F716" s="20"/>
      <c r="G716" s="20"/>
      <c r="H716" s="20"/>
      <c r="I716" s="20"/>
      <c r="J716" s="20"/>
      <c r="K716" s="20"/>
      <c r="L716" s="19"/>
      <c r="M716" s="47"/>
      <c r="N716" s="20"/>
    </row>
    <row r="717" ht="22.5" customHeight="1">
      <c r="A717" s="20"/>
      <c r="B717" s="20"/>
      <c r="C717" s="20"/>
      <c r="D717" s="52"/>
      <c r="E717" s="20"/>
      <c r="F717" s="20"/>
      <c r="G717" s="20"/>
      <c r="H717" s="20"/>
      <c r="I717" s="20"/>
      <c r="J717" s="20"/>
      <c r="K717" s="20"/>
      <c r="L717" s="19"/>
      <c r="M717" s="47"/>
      <c r="N717" s="20"/>
    </row>
    <row r="718" ht="22.5" customHeight="1">
      <c r="A718" s="20"/>
      <c r="B718" s="20"/>
      <c r="C718" s="20"/>
      <c r="D718" s="52"/>
      <c r="E718" s="20"/>
      <c r="F718" s="20"/>
      <c r="G718" s="20"/>
      <c r="H718" s="20"/>
      <c r="I718" s="20"/>
      <c r="J718" s="20"/>
      <c r="K718" s="20"/>
      <c r="L718" s="19"/>
      <c r="M718" s="47"/>
      <c r="N718" s="20"/>
    </row>
    <row r="719" ht="22.5" customHeight="1">
      <c r="A719" s="20"/>
      <c r="B719" s="20"/>
      <c r="C719" s="20"/>
      <c r="D719" s="52"/>
      <c r="E719" s="20"/>
      <c r="F719" s="20"/>
      <c r="G719" s="20"/>
      <c r="H719" s="20"/>
      <c r="I719" s="20"/>
      <c r="J719" s="20"/>
      <c r="K719" s="20"/>
      <c r="L719" s="19"/>
      <c r="M719" s="47"/>
      <c r="N719" s="20"/>
    </row>
    <row r="720" ht="22.5" customHeight="1">
      <c r="A720" s="20"/>
      <c r="B720" s="20"/>
      <c r="C720" s="20"/>
      <c r="D720" s="52"/>
      <c r="E720" s="20"/>
      <c r="F720" s="20"/>
      <c r="G720" s="20"/>
      <c r="H720" s="20"/>
      <c r="I720" s="20"/>
      <c r="J720" s="20"/>
      <c r="K720" s="20"/>
      <c r="L720" s="19"/>
      <c r="M720" s="47"/>
      <c r="N720" s="20"/>
    </row>
    <row r="721" ht="22.5" customHeight="1">
      <c r="A721" s="20"/>
      <c r="B721" s="20"/>
      <c r="C721" s="20"/>
      <c r="D721" s="52"/>
      <c r="E721" s="20"/>
      <c r="F721" s="20"/>
      <c r="G721" s="20"/>
      <c r="H721" s="20"/>
      <c r="I721" s="20"/>
      <c r="J721" s="20"/>
      <c r="K721" s="20"/>
      <c r="L721" s="19"/>
      <c r="M721" s="47"/>
      <c r="N721" s="20"/>
    </row>
    <row r="722" ht="22.5" customHeight="1">
      <c r="A722" s="20"/>
      <c r="B722" s="20"/>
      <c r="C722" s="20"/>
      <c r="D722" s="52"/>
      <c r="E722" s="20"/>
      <c r="F722" s="20"/>
      <c r="G722" s="20"/>
      <c r="H722" s="20"/>
      <c r="I722" s="20"/>
      <c r="J722" s="20"/>
      <c r="K722" s="20"/>
      <c r="L722" s="19"/>
      <c r="M722" s="47"/>
      <c r="N722" s="20"/>
    </row>
    <row r="723" ht="22.5" customHeight="1">
      <c r="A723" s="20"/>
      <c r="B723" s="20"/>
      <c r="C723" s="20"/>
      <c r="D723" s="52"/>
      <c r="E723" s="20"/>
      <c r="F723" s="20"/>
      <c r="G723" s="20"/>
      <c r="H723" s="20"/>
      <c r="I723" s="20"/>
      <c r="J723" s="20"/>
      <c r="K723" s="20"/>
      <c r="L723" s="19"/>
      <c r="M723" s="47"/>
      <c r="N723" s="20"/>
    </row>
    <row r="724" ht="22.5" customHeight="1">
      <c r="A724" s="20"/>
      <c r="B724" s="20"/>
      <c r="C724" s="20"/>
      <c r="D724" s="52"/>
      <c r="E724" s="20"/>
      <c r="F724" s="20"/>
      <c r="G724" s="20"/>
      <c r="H724" s="20"/>
      <c r="I724" s="20"/>
      <c r="J724" s="20"/>
      <c r="K724" s="20"/>
      <c r="L724" s="19"/>
      <c r="M724" s="47"/>
      <c r="N724" s="20"/>
    </row>
    <row r="725" ht="22.5" customHeight="1">
      <c r="A725" s="20"/>
      <c r="B725" s="20"/>
      <c r="C725" s="20"/>
      <c r="D725" s="52"/>
      <c r="E725" s="20"/>
      <c r="F725" s="20"/>
      <c r="G725" s="20"/>
      <c r="H725" s="20"/>
      <c r="I725" s="20"/>
      <c r="J725" s="20"/>
      <c r="K725" s="20"/>
      <c r="L725" s="19"/>
      <c r="M725" s="47"/>
      <c r="N725" s="20"/>
    </row>
    <row r="726" ht="22.5" customHeight="1">
      <c r="A726" s="20"/>
      <c r="B726" s="20"/>
      <c r="C726" s="20"/>
      <c r="D726" s="52"/>
      <c r="E726" s="20"/>
      <c r="F726" s="20"/>
      <c r="G726" s="20"/>
      <c r="H726" s="20"/>
      <c r="I726" s="20"/>
      <c r="J726" s="20"/>
      <c r="K726" s="20"/>
      <c r="L726" s="19"/>
      <c r="M726" s="47"/>
      <c r="N726" s="20"/>
    </row>
    <row r="727" ht="22.5" customHeight="1">
      <c r="A727" s="20"/>
      <c r="B727" s="20"/>
      <c r="C727" s="20"/>
      <c r="D727" s="52"/>
      <c r="E727" s="20"/>
      <c r="F727" s="20"/>
      <c r="G727" s="20"/>
      <c r="H727" s="20"/>
      <c r="I727" s="20"/>
      <c r="J727" s="20"/>
      <c r="K727" s="20"/>
      <c r="L727" s="19"/>
      <c r="M727" s="47"/>
      <c r="N727" s="20"/>
    </row>
    <row r="728" ht="22.5" customHeight="1">
      <c r="A728" s="20"/>
      <c r="B728" s="20"/>
      <c r="C728" s="20"/>
      <c r="D728" s="52"/>
      <c r="E728" s="20"/>
      <c r="F728" s="20"/>
      <c r="G728" s="20"/>
      <c r="H728" s="20"/>
      <c r="I728" s="20"/>
      <c r="J728" s="20"/>
      <c r="K728" s="20"/>
      <c r="L728" s="19"/>
      <c r="M728" s="47"/>
      <c r="N728" s="20"/>
    </row>
    <row r="729" ht="22.5" customHeight="1">
      <c r="A729" s="20"/>
      <c r="B729" s="20"/>
      <c r="C729" s="20"/>
      <c r="D729" s="52"/>
      <c r="E729" s="20"/>
      <c r="F729" s="20"/>
      <c r="G729" s="20"/>
      <c r="H729" s="20"/>
      <c r="I729" s="20"/>
      <c r="J729" s="20"/>
      <c r="K729" s="20"/>
      <c r="L729" s="19"/>
      <c r="M729" s="47"/>
      <c r="N729" s="20"/>
    </row>
    <row r="730" ht="22.5" customHeight="1">
      <c r="A730" s="20"/>
      <c r="B730" s="20"/>
      <c r="C730" s="20"/>
      <c r="D730" s="52"/>
      <c r="E730" s="20"/>
      <c r="F730" s="20"/>
      <c r="G730" s="20"/>
      <c r="H730" s="20"/>
      <c r="I730" s="20"/>
      <c r="J730" s="20"/>
      <c r="K730" s="20"/>
      <c r="L730" s="19"/>
      <c r="M730" s="47"/>
      <c r="N730" s="20"/>
    </row>
    <row r="731" ht="22.5" customHeight="1">
      <c r="A731" s="20"/>
      <c r="B731" s="20"/>
      <c r="C731" s="20"/>
      <c r="D731" s="52"/>
      <c r="E731" s="20"/>
      <c r="F731" s="20"/>
      <c r="G731" s="20"/>
      <c r="H731" s="20"/>
      <c r="I731" s="20"/>
      <c r="J731" s="20"/>
      <c r="K731" s="20"/>
      <c r="L731" s="19"/>
      <c r="M731" s="47"/>
      <c r="N731" s="20"/>
    </row>
    <row r="732" ht="22.5" customHeight="1">
      <c r="A732" s="20"/>
      <c r="B732" s="20"/>
      <c r="C732" s="20"/>
      <c r="D732" s="52"/>
      <c r="E732" s="20"/>
      <c r="F732" s="20"/>
      <c r="G732" s="20"/>
      <c r="H732" s="20"/>
      <c r="I732" s="20"/>
      <c r="J732" s="20"/>
      <c r="K732" s="20"/>
      <c r="L732" s="19"/>
      <c r="M732" s="47"/>
      <c r="N732" s="20"/>
    </row>
    <row r="733" ht="22.5" customHeight="1">
      <c r="A733" s="20"/>
      <c r="B733" s="20"/>
      <c r="C733" s="20"/>
      <c r="D733" s="52"/>
      <c r="E733" s="20"/>
      <c r="F733" s="20"/>
      <c r="G733" s="20"/>
      <c r="H733" s="20"/>
      <c r="I733" s="20"/>
      <c r="J733" s="20"/>
      <c r="K733" s="20"/>
      <c r="L733" s="19"/>
      <c r="M733" s="47"/>
      <c r="N733" s="20"/>
    </row>
    <row r="734" ht="22.5" customHeight="1">
      <c r="A734" s="20"/>
      <c r="B734" s="20"/>
      <c r="C734" s="20"/>
      <c r="D734" s="52"/>
      <c r="E734" s="20"/>
      <c r="F734" s="20"/>
      <c r="G734" s="20"/>
      <c r="H734" s="20"/>
      <c r="I734" s="20"/>
      <c r="J734" s="20"/>
      <c r="K734" s="20"/>
      <c r="L734" s="19"/>
      <c r="M734" s="47"/>
      <c r="N734" s="20"/>
    </row>
    <row r="735" ht="22.5" customHeight="1">
      <c r="A735" s="20"/>
      <c r="B735" s="20"/>
      <c r="C735" s="20"/>
      <c r="D735" s="52"/>
      <c r="E735" s="20"/>
      <c r="F735" s="20"/>
      <c r="G735" s="20"/>
      <c r="H735" s="20"/>
      <c r="I735" s="20"/>
      <c r="J735" s="20"/>
      <c r="K735" s="20"/>
      <c r="L735" s="19"/>
      <c r="M735" s="47"/>
      <c r="N735" s="20"/>
    </row>
    <row r="736" ht="22.5" customHeight="1">
      <c r="A736" s="20"/>
      <c r="B736" s="20"/>
      <c r="C736" s="20"/>
      <c r="D736" s="52"/>
      <c r="E736" s="20"/>
      <c r="F736" s="20"/>
      <c r="G736" s="20"/>
      <c r="H736" s="20"/>
      <c r="I736" s="20"/>
      <c r="J736" s="20"/>
      <c r="K736" s="20"/>
      <c r="L736" s="19"/>
      <c r="M736" s="47"/>
      <c r="N736" s="20"/>
    </row>
    <row r="737" ht="22.5" customHeight="1">
      <c r="A737" s="20"/>
      <c r="B737" s="20"/>
      <c r="C737" s="20"/>
      <c r="D737" s="52"/>
      <c r="E737" s="20"/>
      <c r="F737" s="20"/>
      <c r="G737" s="20"/>
      <c r="H737" s="20"/>
      <c r="I737" s="20"/>
      <c r="J737" s="20"/>
      <c r="K737" s="20"/>
      <c r="L737" s="19"/>
      <c r="M737" s="47"/>
      <c r="N737" s="20"/>
    </row>
    <row r="738" ht="22.5" customHeight="1">
      <c r="A738" s="20"/>
      <c r="B738" s="20"/>
      <c r="C738" s="20"/>
      <c r="D738" s="52"/>
      <c r="E738" s="20"/>
      <c r="F738" s="20"/>
      <c r="G738" s="20"/>
      <c r="H738" s="20"/>
      <c r="I738" s="20"/>
      <c r="J738" s="20"/>
      <c r="K738" s="20"/>
      <c r="L738" s="19"/>
      <c r="M738" s="47"/>
      <c r="N738" s="20"/>
    </row>
    <row r="739" ht="22.5" customHeight="1">
      <c r="A739" s="20"/>
      <c r="B739" s="20"/>
      <c r="C739" s="20"/>
      <c r="D739" s="52"/>
      <c r="E739" s="20"/>
      <c r="F739" s="20"/>
      <c r="G739" s="20"/>
      <c r="H739" s="20"/>
      <c r="I739" s="20"/>
      <c r="J739" s="20"/>
      <c r="K739" s="20"/>
      <c r="L739" s="19"/>
      <c r="M739" s="47"/>
      <c r="N739" s="20"/>
    </row>
    <row r="740" ht="22.5" customHeight="1">
      <c r="A740" s="20"/>
      <c r="B740" s="20"/>
      <c r="C740" s="20"/>
      <c r="D740" s="52"/>
      <c r="E740" s="20"/>
      <c r="F740" s="20"/>
      <c r="G740" s="20"/>
      <c r="H740" s="20"/>
      <c r="I740" s="20"/>
      <c r="J740" s="20"/>
      <c r="K740" s="20"/>
      <c r="L740" s="19"/>
      <c r="M740" s="47"/>
      <c r="N740" s="20"/>
    </row>
    <row r="741" ht="22.5" customHeight="1">
      <c r="A741" s="20"/>
      <c r="B741" s="20"/>
      <c r="C741" s="20"/>
      <c r="D741" s="52"/>
      <c r="E741" s="20"/>
      <c r="F741" s="20"/>
      <c r="G741" s="20"/>
      <c r="H741" s="20"/>
      <c r="I741" s="20"/>
      <c r="J741" s="20"/>
      <c r="K741" s="20"/>
      <c r="L741" s="19"/>
      <c r="M741" s="47"/>
      <c r="N741" s="20"/>
    </row>
    <row r="742" ht="22.5" customHeight="1">
      <c r="A742" s="20"/>
      <c r="B742" s="20"/>
      <c r="C742" s="20"/>
      <c r="D742" s="52"/>
      <c r="E742" s="20"/>
      <c r="F742" s="20"/>
      <c r="G742" s="20"/>
      <c r="H742" s="20"/>
      <c r="I742" s="20"/>
      <c r="J742" s="20"/>
      <c r="K742" s="20"/>
      <c r="L742" s="19"/>
      <c r="M742" s="47"/>
      <c r="N742" s="20"/>
    </row>
    <row r="743" ht="22.5" customHeight="1">
      <c r="A743" s="20"/>
      <c r="B743" s="20"/>
      <c r="C743" s="20"/>
      <c r="D743" s="52"/>
      <c r="E743" s="20"/>
      <c r="F743" s="20"/>
      <c r="G743" s="20"/>
      <c r="H743" s="20"/>
      <c r="I743" s="20"/>
      <c r="J743" s="20"/>
      <c r="K743" s="20"/>
      <c r="L743" s="19"/>
      <c r="M743" s="47"/>
      <c r="N743" s="20"/>
    </row>
    <row r="744" ht="22.5" customHeight="1">
      <c r="A744" s="20"/>
      <c r="B744" s="20"/>
      <c r="C744" s="20"/>
      <c r="D744" s="52"/>
      <c r="E744" s="20"/>
      <c r="F744" s="20"/>
      <c r="G744" s="20"/>
      <c r="H744" s="20"/>
      <c r="I744" s="20"/>
      <c r="J744" s="20"/>
      <c r="K744" s="20"/>
      <c r="L744" s="19"/>
      <c r="M744" s="47"/>
      <c r="N744" s="20"/>
    </row>
    <row r="745" ht="22.5" customHeight="1">
      <c r="A745" s="20"/>
      <c r="B745" s="20"/>
      <c r="C745" s="20"/>
      <c r="D745" s="52"/>
      <c r="E745" s="20"/>
      <c r="F745" s="20"/>
      <c r="G745" s="20"/>
      <c r="H745" s="20"/>
      <c r="I745" s="20"/>
      <c r="J745" s="20"/>
      <c r="K745" s="20"/>
      <c r="L745" s="19"/>
      <c r="M745" s="47"/>
      <c r="N745" s="20"/>
    </row>
    <row r="746" ht="22.5" customHeight="1">
      <c r="A746" s="20"/>
      <c r="B746" s="20"/>
      <c r="C746" s="20"/>
      <c r="D746" s="52"/>
      <c r="E746" s="20"/>
      <c r="F746" s="20"/>
      <c r="G746" s="20"/>
      <c r="H746" s="20"/>
      <c r="I746" s="20"/>
      <c r="J746" s="20"/>
      <c r="K746" s="20"/>
      <c r="L746" s="19"/>
      <c r="M746" s="47"/>
      <c r="N746" s="20"/>
    </row>
    <row r="747" ht="22.5" customHeight="1">
      <c r="A747" s="20"/>
      <c r="B747" s="20"/>
      <c r="C747" s="20"/>
      <c r="D747" s="52"/>
      <c r="E747" s="20"/>
      <c r="F747" s="20"/>
      <c r="G747" s="20"/>
      <c r="H747" s="20"/>
      <c r="I747" s="20"/>
      <c r="J747" s="20"/>
      <c r="K747" s="20"/>
      <c r="L747" s="19"/>
      <c r="M747" s="47"/>
      <c r="N747" s="20"/>
    </row>
    <row r="748" ht="22.5" customHeight="1">
      <c r="A748" s="20"/>
      <c r="B748" s="20"/>
      <c r="C748" s="20"/>
      <c r="D748" s="52"/>
      <c r="E748" s="20"/>
      <c r="F748" s="20"/>
      <c r="G748" s="20"/>
      <c r="H748" s="20"/>
      <c r="I748" s="20"/>
      <c r="J748" s="20"/>
      <c r="K748" s="20"/>
      <c r="L748" s="19"/>
      <c r="M748" s="47"/>
      <c r="N748" s="20"/>
    </row>
    <row r="749" ht="22.5" customHeight="1">
      <c r="A749" s="20"/>
      <c r="B749" s="20"/>
      <c r="C749" s="20"/>
      <c r="D749" s="52"/>
      <c r="E749" s="20"/>
      <c r="F749" s="20"/>
      <c r="G749" s="20"/>
      <c r="H749" s="20"/>
      <c r="I749" s="20"/>
      <c r="J749" s="20"/>
      <c r="K749" s="20"/>
      <c r="L749" s="19"/>
      <c r="M749" s="47"/>
      <c r="N749" s="20"/>
    </row>
    <row r="750" ht="22.5" customHeight="1">
      <c r="A750" s="20"/>
      <c r="B750" s="20"/>
      <c r="C750" s="20"/>
      <c r="D750" s="52"/>
      <c r="E750" s="20"/>
      <c r="F750" s="20"/>
      <c r="G750" s="20"/>
      <c r="H750" s="20"/>
      <c r="I750" s="20"/>
      <c r="J750" s="20"/>
      <c r="K750" s="20"/>
      <c r="L750" s="19"/>
      <c r="M750" s="47"/>
      <c r="N750" s="20"/>
    </row>
    <row r="751" ht="22.5" customHeight="1">
      <c r="A751" s="20"/>
      <c r="B751" s="20"/>
      <c r="C751" s="20"/>
      <c r="D751" s="52"/>
      <c r="E751" s="20"/>
      <c r="F751" s="20"/>
      <c r="G751" s="20"/>
      <c r="H751" s="20"/>
      <c r="I751" s="20"/>
      <c r="J751" s="20"/>
      <c r="K751" s="20"/>
      <c r="L751" s="19"/>
      <c r="M751" s="47"/>
      <c r="N751" s="20"/>
    </row>
    <row r="752" ht="22.5" customHeight="1">
      <c r="A752" s="20"/>
      <c r="B752" s="20"/>
      <c r="C752" s="20"/>
      <c r="D752" s="52"/>
      <c r="E752" s="20"/>
      <c r="F752" s="20"/>
      <c r="G752" s="20"/>
      <c r="H752" s="20"/>
      <c r="I752" s="20"/>
      <c r="J752" s="20"/>
      <c r="K752" s="20"/>
      <c r="L752" s="19"/>
      <c r="M752" s="47"/>
      <c r="N752" s="20"/>
    </row>
    <row r="753" ht="22.5" customHeight="1">
      <c r="A753" s="20"/>
      <c r="B753" s="20"/>
      <c r="C753" s="20"/>
      <c r="D753" s="52"/>
      <c r="E753" s="20"/>
      <c r="F753" s="20"/>
      <c r="G753" s="20"/>
      <c r="H753" s="20"/>
      <c r="I753" s="20"/>
      <c r="J753" s="20"/>
      <c r="K753" s="20"/>
      <c r="L753" s="19"/>
      <c r="M753" s="47"/>
      <c r="N753" s="20"/>
    </row>
    <row r="754" ht="22.5" customHeight="1">
      <c r="A754" s="20"/>
      <c r="B754" s="20"/>
      <c r="C754" s="20"/>
      <c r="D754" s="52"/>
      <c r="E754" s="20"/>
      <c r="F754" s="20"/>
      <c r="G754" s="20"/>
      <c r="H754" s="20"/>
      <c r="I754" s="20"/>
      <c r="J754" s="20"/>
      <c r="K754" s="20"/>
      <c r="L754" s="19"/>
      <c r="M754" s="47"/>
      <c r="N754" s="20"/>
    </row>
    <row r="755" ht="22.5" customHeight="1">
      <c r="A755" s="20"/>
      <c r="B755" s="20"/>
      <c r="C755" s="20"/>
      <c r="D755" s="52"/>
      <c r="E755" s="20"/>
      <c r="F755" s="20"/>
      <c r="G755" s="20"/>
      <c r="H755" s="20"/>
      <c r="I755" s="20"/>
      <c r="J755" s="20"/>
      <c r="K755" s="20"/>
      <c r="L755" s="19"/>
      <c r="M755" s="47"/>
      <c r="N755" s="20"/>
    </row>
    <row r="756" ht="22.5" customHeight="1">
      <c r="A756" s="20"/>
      <c r="B756" s="20"/>
      <c r="C756" s="20"/>
      <c r="D756" s="52"/>
      <c r="E756" s="20"/>
      <c r="F756" s="20"/>
      <c r="G756" s="20"/>
      <c r="H756" s="20"/>
      <c r="I756" s="20"/>
      <c r="J756" s="20"/>
      <c r="K756" s="20"/>
      <c r="L756" s="19"/>
      <c r="M756" s="47"/>
      <c r="N756" s="20"/>
    </row>
    <row r="757" ht="22.5" customHeight="1">
      <c r="A757" s="20"/>
      <c r="B757" s="20"/>
      <c r="C757" s="20"/>
      <c r="D757" s="52"/>
      <c r="E757" s="20"/>
      <c r="F757" s="20"/>
      <c r="G757" s="20"/>
      <c r="H757" s="20"/>
      <c r="I757" s="20"/>
      <c r="J757" s="20"/>
      <c r="K757" s="20"/>
      <c r="L757" s="19"/>
      <c r="M757" s="47"/>
      <c r="N757" s="20"/>
    </row>
    <row r="758" ht="22.5" customHeight="1">
      <c r="A758" s="20"/>
      <c r="B758" s="20"/>
      <c r="C758" s="20"/>
      <c r="D758" s="52"/>
      <c r="E758" s="20"/>
      <c r="F758" s="20"/>
      <c r="G758" s="20"/>
      <c r="H758" s="20"/>
      <c r="I758" s="20"/>
      <c r="J758" s="20"/>
      <c r="K758" s="20"/>
      <c r="L758" s="19"/>
      <c r="M758" s="47"/>
      <c r="N758" s="20"/>
    </row>
    <row r="759" ht="22.5" customHeight="1">
      <c r="A759" s="20"/>
      <c r="B759" s="20"/>
      <c r="C759" s="20"/>
      <c r="D759" s="52"/>
      <c r="E759" s="20"/>
      <c r="F759" s="20"/>
      <c r="G759" s="20"/>
      <c r="H759" s="20"/>
      <c r="I759" s="20"/>
      <c r="J759" s="20"/>
      <c r="K759" s="20"/>
      <c r="L759" s="19"/>
      <c r="M759" s="47"/>
      <c r="N759" s="20"/>
    </row>
    <row r="760" ht="22.5" customHeight="1">
      <c r="A760" s="20"/>
      <c r="B760" s="20"/>
      <c r="C760" s="20"/>
      <c r="D760" s="52"/>
      <c r="E760" s="20"/>
      <c r="F760" s="20"/>
      <c r="G760" s="20"/>
      <c r="H760" s="20"/>
      <c r="I760" s="20"/>
      <c r="J760" s="20"/>
      <c r="K760" s="20"/>
      <c r="L760" s="19"/>
      <c r="M760" s="47"/>
      <c r="N760" s="20"/>
    </row>
    <row r="761" ht="22.5" customHeight="1">
      <c r="A761" s="20"/>
      <c r="B761" s="20"/>
      <c r="C761" s="20"/>
      <c r="D761" s="52"/>
      <c r="E761" s="20"/>
      <c r="F761" s="20"/>
      <c r="G761" s="20"/>
      <c r="H761" s="20"/>
      <c r="I761" s="20"/>
      <c r="J761" s="20"/>
      <c r="K761" s="20"/>
      <c r="L761" s="19"/>
      <c r="M761" s="47"/>
      <c r="N761" s="20"/>
    </row>
    <row r="762" ht="22.5" customHeight="1">
      <c r="A762" s="20"/>
      <c r="B762" s="20"/>
      <c r="C762" s="20"/>
      <c r="D762" s="52"/>
      <c r="E762" s="20"/>
      <c r="F762" s="20"/>
      <c r="G762" s="20"/>
      <c r="H762" s="20"/>
      <c r="I762" s="20"/>
      <c r="J762" s="20"/>
      <c r="K762" s="20"/>
      <c r="L762" s="19"/>
      <c r="M762" s="47"/>
      <c r="N762" s="20"/>
    </row>
    <row r="763" ht="22.5" customHeight="1">
      <c r="A763" s="20"/>
      <c r="B763" s="20"/>
      <c r="C763" s="20"/>
      <c r="D763" s="52"/>
      <c r="E763" s="20"/>
      <c r="F763" s="20"/>
      <c r="G763" s="20"/>
      <c r="H763" s="20"/>
      <c r="I763" s="20"/>
      <c r="J763" s="20"/>
      <c r="K763" s="20"/>
      <c r="L763" s="19"/>
      <c r="M763" s="47"/>
      <c r="N763" s="20"/>
    </row>
    <row r="764" ht="22.5" customHeight="1">
      <c r="A764" s="20"/>
      <c r="B764" s="20"/>
      <c r="C764" s="20"/>
      <c r="D764" s="52"/>
      <c r="E764" s="20"/>
      <c r="F764" s="20"/>
      <c r="G764" s="20"/>
      <c r="H764" s="20"/>
      <c r="I764" s="20"/>
      <c r="J764" s="20"/>
      <c r="K764" s="20"/>
      <c r="L764" s="19"/>
      <c r="M764" s="47"/>
      <c r="N764" s="20"/>
    </row>
    <row r="765" ht="22.5" customHeight="1">
      <c r="A765" s="20"/>
      <c r="B765" s="20"/>
      <c r="C765" s="20"/>
      <c r="D765" s="52"/>
      <c r="E765" s="20"/>
      <c r="F765" s="20"/>
      <c r="G765" s="20"/>
      <c r="H765" s="20"/>
      <c r="I765" s="20"/>
      <c r="J765" s="20"/>
      <c r="K765" s="20"/>
      <c r="L765" s="19"/>
      <c r="M765" s="47"/>
      <c r="N765" s="20"/>
    </row>
    <row r="766" ht="22.5" customHeight="1">
      <c r="A766" s="20"/>
      <c r="B766" s="20"/>
      <c r="C766" s="20"/>
      <c r="D766" s="52"/>
      <c r="E766" s="20"/>
      <c r="F766" s="20"/>
      <c r="G766" s="20"/>
      <c r="H766" s="20"/>
      <c r="I766" s="20"/>
      <c r="J766" s="20"/>
      <c r="K766" s="20"/>
      <c r="L766" s="19"/>
      <c r="M766" s="47"/>
      <c r="N766" s="20"/>
    </row>
    <row r="767" ht="22.5" customHeight="1">
      <c r="A767" s="20"/>
      <c r="B767" s="20"/>
      <c r="C767" s="20"/>
      <c r="D767" s="52"/>
      <c r="E767" s="20"/>
      <c r="F767" s="20"/>
      <c r="G767" s="20"/>
      <c r="H767" s="20"/>
      <c r="I767" s="20"/>
      <c r="J767" s="20"/>
      <c r="K767" s="20"/>
      <c r="L767" s="19"/>
      <c r="M767" s="47"/>
      <c r="N767" s="20"/>
    </row>
    <row r="768" ht="22.5" customHeight="1">
      <c r="A768" s="20"/>
      <c r="B768" s="20"/>
      <c r="C768" s="20"/>
      <c r="D768" s="52"/>
      <c r="E768" s="20"/>
      <c r="F768" s="20"/>
      <c r="G768" s="20"/>
      <c r="H768" s="20"/>
      <c r="I768" s="20"/>
      <c r="J768" s="20"/>
      <c r="K768" s="20"/>
      <c r="L768" s="19"/>
      <c r="M768" s="47"/>
      <c r="N768" s="20"/>
    </row>
    <row r="769" ht="22.5" customHeight="1">
      <c r="A769" s="20"/>
      <c r="B769" s="20"/>
      <c r="C769" s="20"/>
      <c r="D769" s="52"/>
      <c r="E769" s="20"/>
      <c r="F769" s="20"/>
      <c r="G769" s="20"/>
      <c r="H769" s="20"/>
      <c r="I769" s="20"/>
      <c r="J769" s="20"/>
      <c r="K769" s="20"/>
      <c r="L769" s="19"/>
      <c r="M769" s="47"/>
      <c r="N769" s="20"/>
    </row>
    <row r="770" ht="22.5" customHeight="1">
      <c r="A770" s="20"/>
      <c r="B770" s="20"/>
      <c r="C770" s="20"/>
      <c r="D770" s="52"/>
      <c r="E770" s="20"/>
      <c r="F770" s="20"/>
      <c r="G770" s="20"/>
      <c r="H770" s="20"/>
      <c r="I770" s="20"/>
      <c r="J770" s="20"/>
      <c r="K770" s="20"/>
      <c r="L770" s="19"/>
      <c r="M770" s="47"/>
      <c r="N770" s="20"/>
    </row>
    <row r="771" ht="22.5" customHeight="1">
      <c r="A771" s="20"/>
      <c r="B771" s="20"/>
      <c r="C771" s="20"/>
      <c r="D771" s="52"/>
      <c r="E771" s="20"/>
      <c r="F771" s="20"/>
      <c r="G771" s="20"/>
      <c r="H771" s="20"/>
      <c r="I771" s="20"/>
      <c r="J771" s="20"/>
      <c r="K771" s="20"/>
      <c r="L771" s="19"/>
      <c r="M771" s="47"/>
      <c r="N771" s="20"/>
    </row>
    <row r="772" ht="22.5" customHeight="1">
      <c r="A772" s="20"/>
      <c r="B772" s="20"/>
      <c r="C772" s="20"/>
      <c r="D772" s="52"/>
      <c r="E772" s="20"/>
      <c r="F772" s="20"/>
      <c r="G772" s="20"/>
      <c r="H772" s="20"/>
      <c r="I772" s="20"/>
      <c r="J772" s="20"/>
      <c r="K772" s="20"/>
      <c r="L772" s="19"/>
      <c r="M772" s="47"/>
      <c r="N772" s="20"/>
    </row>
    <row r="773" ht="22.5" customHeight="1">
      <c r="A773" s="20"/>
      <c r="B773" s="20"/>
      <c r="C773" s="20"/>
      <c r="D773" s="52"/>
      <c r="E773" s="20"/>
      <c r="F773" s="20"/>
      <c r="G773" s="20"/>
      <c r="H773" s="20"/>
      <c r="I773" s="20"/>
      <c r="J773" s="20"/>
      <c r="K773" s="20"/>
      <c r="L773" s="19"/>
      <c r="M773" s="47"/>
      <c r="N773" s="20"/>
    </row>
    <row r="774" ht="22.5" customHeight="1">
      <c r="A774" s="20"/>
      <c r="B774" s="20"/>
      <c r="C774" s="20"/>
      <c r="D774" s="52"/>
      <c r="E774" s="20"/>
      <c r="F774" s="20"/>
      <c r="G774" s="20"/>
      <c r="H774" s="20"/>
      <c r="I774" s="20"/>
      <c r="J774" s="20"/>
      <c r="K774" s="20"/>
      <c r="L774" s="19"/>
      <c r="M774" s="47"/>
      <c r="N774" s="20"/>
    </row>
    <row r="775" ht="22.5" customHeight="1">
      <c r="A775" s="20"/>
      <c r="B775" s="20"/>
      <c r="C775" s="20"/>
      <c r="D775" s="52"/>
      <c r="E775" s="20"/>
      <c r="F775" s="20"/>
      <c r="G775" s="20"/>
      <c r="H775" s="20"/>
      <c r="I775" s="20"/>
      <c r="J775" s="20"/>
      <c r="K775" s="20"/>
      <c r="L775" s="19"/>
      <c r="M775" s="47"/>
      <c r="N775" s="20"/>
    </row>
    <row r="776" ht="22.5" customHeight="1">
      <c r="A776" s="20"/>
      <c r="B776" s="20"/>
      <c r="C776" s="20"/>
      <c r="D776" s="52"/>
      <c r="E776" s="20"/>
      <c r="F776" s="20"/>
      <c r="G776" s="20"/>
      <c r="H776" s="20"/>
      <c r="I776" s="20"/>
      <c r="J776" s="20"/>
      <c r="K776" s="20"/>
      <c r="L776" s="19"/>
      <c r="M776" s="47"/>
      <c r="N776" s="20"/>
    </row>
    <row r="777" ht="22.5" customHeight="1">
      <c r="A777" s="20"/>
      <c r="B777" s="20"/>
      <c r="C777" s="20"/>
      <c r="D777" s="52"/>
      <c r="E777" s="20"/>
      <c r="F777" s="20"/>
      <c r="G777" s="20"/>
      <c r="H777" s="20"/>
      <c r="I777" s="20"/>
      <c r="J777" s="20"/>
      <c r="K777" s="20"/>
      <c r="L777" s="19"/>
      <c r="M777" s="47"/>
      <c r="N777" s="20"/>
    </row>
    <row r="778" ht="22.5" customHeight="1">
      <c r="A778" s="20"/>
      <c r="B778" s="20"/>
      <c r="C778" s="20"/>
      <c r="D778" s="52"/>
      <c r="E778" s="20"/>
      <c r="F778" s="20"/>
      <c r="G778" s="20"/>
      <c r="H778" s="20"/>
      <c r="I778" s="20"/>
      <c r="J778" s="20"/>
      <c r="K778" s="20"/>
      <c r="L778" s="19"/>
      <c r="M778" s="47"/>
      <c r="N778" s="20"/>
    </row>
    <row r="779" ht="22.5" customHeight="1">
      <c r="A779" s="20"/>
      <c r="B779" s="20"/>
      <c r="C779" s="20"/>
      <c r="D779" s="52"/>
      <c r="E779" s="20"/>
      <c r="F779" s="20"/>
      <c r="G779" s="20"/>
      <c r="H779" s="20"/>
      <c r="I779" s="20"/>
      <c r="J779" s="20"/>
      <c r="K779" s="20"/>
      <c r="L779" s="19"/>
      <c r="M779" s="47"/>
      <c r="N779" s="20"/>
    </row>
    <row r="780" ht="22.5" customHeight="1">
      <c r="A780" s="20"/>
      <c r="B780" s="20"/>
      <c r="C780" s="20"/>
      <c r="D780" s="52"/>
      <c r="E780" s="20"/>
      <c r="F780" s="20"/>
      <c r="G780" s="20"/>
      <c r="H780" s="20"/>
      <c r="I780" s="20"/>
      <c r="J780" s="20"/>
      <c r="K780" s="20"/>
      <c r="L780" s="19"/>
      <c r="M780" s="47"/>
      <c r="N780" s="20"/>
    </row>
    <row r="781" ht="22.5" customHeight="1">
      <c r="A781" s="20"/>
      <c r="B781" s="20"/>
      <c r="C781" s="20"/>
      <c r="D781" s="52"/>
      <c r="E781" s="20"/>
      <c r="F781" s="20"/>
      <c r="G781" s="20"/>
      <c r="H781" s="20"/>
      <c r="I781" s="20"/>
      <c r="J781" s="20"/>
      <c r="K781" s="20"/>
      <c r="L781" s="19"/>
      <c r="M781" s="47"/>
      <c r="N781" s="20"/>
    </row>
    <row r="782" ht="22.5" customHeight="1">
      <c r="A782" s="20"/>
      <c r="B782" s="20"/>
      <c r="C782" s="20"/>
      <c r="D782" s="52"/>
      <c r="E782" s="20"/>
      <c r="F782" s="20"/>
      <c r="G782" s="20"/>
      <c r="H782" s="20"/>
      <c r="I782" s="20"/>
      <c r="J782" s="20"/>
      <c r="K782" s="20"/>
      <c r="L782" s="19"/>
      <c r="M782" s="47"/>
      <c r="N782" s="20"/>
    </row>
    <row r="783" ht="22.5" customHeight="1">
      <c r="A783" s="20"/>
      <c r="B783" s="20"/>
      <c r="C783" s="20"/>
      <c r="D783" s="52"/>
      <c r="E783" s="20"/>
      <c r="F783" s="20"/>
      <c r="G783" s="20"/>
      <c r="H783" s="20"/>
      <c r="I783" s="20"/>
      <c r="J783" s="20"/>
      <c r="K783" s="20"/>
      <c r="L783" s="19"/>
      <c r="M783" s="47"/>
      <c r="N783" s="20"/>
    </row>
    <row r="784" ht="22.5" customHeight="1">
      <c r="A784" s="20"/>
      <c r="B784" s="20"/>
      <c r="C784" s="20"/>
      <c r="D784" s="52"/>
      <c r="E784" s="20"/>
      <c r="F784" s="20"/>
      <c r="G784" s="20"/>
      <c r="H784" s="20"/>
      <c r="I784" s="20"/>
      <c r="J784" s="20"/>
      <c r="K784" s="20"/>
      <c r="L784" s="19"/>
      <c r="M784" s="47"/>
      <c r="N784" s="20"/>
    </row>
    <row r="785" ht="22.5" customHeight="1">
      <c r="A785" s="20"/>
      <c r="B785" s="20"/>
      <c r="C785" s="20"/>
      <c r="D785" s="52"/>
      <c r="E785" s="20"/>
      <c r="F785" s="20"/>
      <c r="G785" s="20"/>
      <c r="H785" s="20"/>
      <c r="I785" s="20"/>
      <c r="J785" s="20"/>
      <c r="K785" s="20"/>
      <c r="L785" s="19"/>
      <c r="M785" s="47"/>
      <c r="N785" s="20"/>
    </row>
    <row r="786" ht="22.5" customHeight="1">
      <c r="A786" s="20"/>
      <c r="B786" s="20"/>
      <c r="C786" s="20"/>
      <c r="D786" s="52"/>
      <c r="E786" s="20"/>
      <c r="F786" s="20"/>
      <c r="G786" s="20"/>
      <c r="H786" s="20"/>
      <c r="I786" s="20"/>
      <c r="J786" s="20"/>
      <c r="K786" s="20"/>
      <c r="L786" s="19"/>
      <c r="M786" s="47"/>
      <c r="N786" s="20"/>
    </row>
    <row r="787" ht="22.5" customHeight="1">
      <c r="A787" s="20"/>
      <c r="B787" s="20"/>
      <c r="C787" s="20"/>
      <c r="D787" s="52"/>
      <c r="E787" s="20"/>
      <c r="F787" s="20"/>
      <c r="G787" s="20"/>
      <c r="H787" s="20"/>
      <c r="I787" s="20"/>
      <c r="J787" s="20"/>
      <c r="K787" s="20"/>
      <c r="L787" s="19"/>
      <c r="M787" s="47"/>
      <c r="N787" s="20"/>
    </row>
    <row r="788" ht="22.5" customHeight="1">
      <c r="A788" s="20"/>
      <c r="B788" s="20"/>
      <c r="C788" s="20"/>
      <c r="D788" s="52"/>
      <c r="E788" s="20"/>
      <c r="F788" s="20"/>
      <c r="G788" s="20"/>
      <c r="H788" s="20"/>
      <c r="I788" s="20"/>
      <c r="J788" s="20"/>
      <c r="K788" s="20"/>
      <c r="L788" s="19"/>
      <c r="M788" s="47"/>
      <c r="N788" s="20"/>
    </row>
    <row r="789" ht="22.5" customHeight="1">
      <c r="A789" s="20"/>
      <c r="B789" s="20"/>
      <c r="C789" s="20"/>
      <c r="D789" s="52"/>
      <c r="E789" s="20"/>
      <c r="F789" s="20"/>
      <c r="G789" s="20"/>
      <c r="H789" s="20"/>
      <c r="I789" s="20"/>
      <c r="J789" s="20"/>
      <c r="K789" s="20"/>
      <c r="L789" s="19"/>
      <c r="M789" s="47"/>
      <c r="N789" s="20"/>
    </row>
    <row r="790" ht="22.5" customHeight="1">
      <c r="A790" s="20"/>
      <c r="B790" s="20"/>
      <c r="C790" s="20"/>
      <c r="D790" s="52"/>
      <c r="E790" s="20"/>
      <c r="F790" s="20"/>
      <c r="G790" s="20"/>
      <c r="H790" s="20"/>
      <c r="I790" s="20"/>
      <c r="J790" s="20"/>
      <c r="K790" s="20"/>
      <c r="L790" s="19"/>
      <c r="M790" s="47"/>
      <c r="N790" s="20"/>
    </row>
    <row r="791" ht="22.5" customHeight="1">
      <c r="A791" s="20"/>
      <c r="B791" s="20"/>
      <c r="C791" s="20"/>
      <c r="D791" s="52"/>
      <c r="E791" s="20"/>
      <c r="F791" s="20"/>
      <c r="G791" s="20"/>
      <c r="H791" s="20"/>
      <c r="I791" s="20"/>
      <c r="J791" s="20"/>
      <c r="K791" s="20"/>
      <c r="L791" s="19"/>
      <c r="M791" s="47"/>
      <c r="N791" s="20"/>
    </row>
    <row r="792" ht="22.5" customHeight="1">
      <c r="A792" s="20"/>
      <c r="B792" s="20"/>
      <c r="C792" s="20"/>
      <c r="D792" s="52"/>
      <c r="E792" s="20"/>
      <c r="F792" s="20"/>
      <c r="G792" s="20"/>
      <c r="H792" s="20"/>
      <c r="I792" s="20"/>
      <c r="J792" s="20"/>
      <c r="K792" s="20"/>
      <c r="L792" s="19"/>
      <c r="M792" s="47"/>
      <c r="N792" s="20"/>
    </row>
    <row r="793" ht="22.5" customHeight="1">
      <c r="A793" s="20"/>
      <c r="B793" s="20"/>
      <c r="C793" s="20"/>
      <c r="D793" s="52"/>
      <c r="E793" s="20"/>
      <c r="F793" s="20"/>
      <c r="G793" s="20"/>
      <c r="H793" s="20"/>
      <c r="I793" s="20"/>
      <c r="J793" s="20"/>
      <c r="K793" s="20"/>
      <c r="L793" s="19"/>
      <c r="M793" s="47"/>
      <c r="N793" s="20"/>
    </row>
    <row r="794" ht="22.5" customHeight="1">
      <c r="A794" s="20"/>
      <c r="B794" s="20"/>
      <c r="C794" s="20"/>
      <c r="D794" s="52"/>
      <c r="E794" s="20"/>
      <c r="F794" s="20"/>
      <c r="G794" s="20"/>
      <c r="H794" s="20"/>
      <c r="I794" s="20"/>
      <c r="J794" s="20"/>
      <c r="K794" s="20"/>
      <c r="L794" s="19"/>
      <c r="M794" s="47"/>
      <c r="N794" s="20"/>
    </row>
    <row r="795" ht="22.5" customHeight="1">
      <c r="A795" s="20"/>
      <c r="B795" s="20"/>
      <c r="C795" s="20"/>
      <c r="D795" s="52"/>
      <c r="E795" s="20"/>
      <c r="F795" s="20"/>
      <c r="G795" s="20"/>
      <c r="H795" s="20"/>
      <c r="I795" s="20"/>
      <c r="J795" s="20"/>
      <c r="K795" s="20"/>
      <c r="L795" s="19"/>
      <c r="M795" s="47"/>
      <c r="N795" s="20"/>
    </row>
    <row r="796" ht="22.5" customHeight="1">
      <c r="A796" s="20"/>
      <c r="B796" s="20"/>
      <c r="C796" s="20"/>
      <c r="D796" s="52"/>
      <c r="E796" s="20"/>
      <c r="F796" s="20"/>
      <c r="G796" s="20"/>
      <c r="H796" s="20"/>
      <c r="I796" s="20"/>
      <c r="J796" s="20"/>
      <c r="K796" s="20"/>
      <c r="L796" s="19"/>
      <c r="M796" s="47"/>
      <c r="N796" s="20"/>
    </row>
    <row r="797" ht="22.5" customHeight="1">
      <c r="A797" s="20"/>
      <c r="B797" s="20"/>
      <c r="C797" s="20"/>
      <c r="D797" s="52"/>
      <c r="E797" s="20"/>
      <c r="F797" s="20"/>
      <c r="G797" s="20"/>
      <c r="H797" s="20"/>
      <c r="I797" s="20"/>
      <c r="J797" s="20"/>
      <c r="K797" s="20"/>
      <c r="L797" s="19"/>
      <c r="M797" s="47"/>
      <c r="N797" s="20"/>
    </row>
    <row r="798" ht="22.5" customHeight="1">
      <c r="A798" s="20"/>
      <c r="B798" s="20"/>
      <c r="C798" s="20"/>
      <c r="D798" s="52"/>
      <c r="E798" s="20"/>
      <c r="F798" s="20"/>
      <c r="G798" s="20"/>
      <c r="H798" s="20"/>
      <c r="I798" s="20"/>
      <c r="J798" s="20"/>
      <c r="K798" s="20"/>
      <c r="L798" s="19"/>
      <c r="M798" s="47"/>
      <c r="N798" s="20"/>
    </row>
    <row r="799" ht="22.5" customHeight="1">
      <c r="A799" s="20"/>
      <c r="B799" s="20"/>
      <c r="C799" s="20"/>
      <c r="D799" s="52"/>
      <c r="E799" s="20"/>
      <c r="F799" s="20"/>
      <c r="G799" s="20"/>
      <c r="H799" s="20"/>
      <c r="I799" s="20"/>
      <c r="J799" s="20"/>
      <c r="K799" s="20"/>
      <c r="L799" s="19"/>
      <c r="M799" s="47"/>
      <c r="N799" s="20"/>
    </row>
    <row r="800" ht="22.5" customHeight="1">
      <c r="A800" s="20"/>
      <c r="B800" s="20"/>
      <c r="C800" s="20"/>
      <c r="D800" s="52"/>
      <c r="E800" s="20"/>
      <c r="F800" s="20"/>
      <c r="G800" s="20"/>
      <c r="H800" s="20"/>
      <c r="I800" s="20"/>
      <c r="J800" s="20"/>
      <c r="K800" s="20"/>
      <c r="L800" s="19"/>
      <c r="M800" s="47"/>
      <c r="N800" s="20"/>
    </row>
    <row r="801" ht="22.5" customHeight="1">
      <c r="A801" s="20"/>
      <c r="B801" s="20"/>
      <c r="C801" s="20"/>
      <c r="D801" s="52"/>
      <c r="E801" s="20"/>
      <c r="F801" s="20"/>
      <c r="G801" s="20"/>
      <c r="H801" s="20"/>
      <c r="I801" s="20"/>
      <c r="J801" s="20"/>
      <c r="K801" s="20"/>
      <c r="L801" s="19"/>
      <c r="M801" s="47"/>
      <c r="N801" s="20"/>
    </row>
    <row r="802" ht="22.5" customHeight="1">
      <c r="A802" s="20"/>
      <c r="B802" s="20"/>
      <c r="C802" s="20"/>
      <c r="D802" s="52"/>
      <c r="E802" s="20"/>
      <c r="F802" s="20"/>
      <c r="G802" s="20"/>
      <c r="H802" s="20"/>
      <c r="I802" s="20"/>
      <c r="J802" s="20"/>
      <c r="K802" s="20"/>
      <c r="L802" s="19"/>
      <c r="M802" s="47"/>
      <c r="N802" s="20"/>
    </row>
    <row r="803" ht="22.5" customHeight="1">
      <c r="A803" s="20"/>
      <c r="B803" s="20"/>
      <c r="C803" s="20"/>
      <c r="D803" s="52"/>
      <c r="E803" s="20"/>
      <c r="F803" s="20"/>
      <c r="G803" s="20"/>
      <c r="H803" s="20"/>
      <c r="I803" s="20"/>
      <c r="J803" s="20"/>
      <c r="K803" s="20"/>
      <c r="L803" s="19"/>
      <c r="M803" s="47"/>
      <c r="N803" s="20"/>
    </row>
    <row r="804" ht="22.5" customHeight="1">
      <c r="A804" s="20"/>
      <c r="B804" s="20"/>
      <c r="C804" s="20"/>
      <c r="D804" s="52"/>
      <c r="E804" s="20"/>
      <c r="F804" s="20"/>
      <c r="G804" s="20"/>
      <c r="H804" s="20"/>
      <c r="I804" s="20"/>
      <c r="J804" s="20"/>
      <c r="K804" s="20"/>
      <c r="L804" s="19"/>
      <c r="M804" s="47"/>
      <c r="N804" s="20"/>
    </row>
    <row r="805" ht="22.5" customHeight="1">
      <c r="A805" s="20"/>
      <c r="B805" s="20"/>
      <c r="C805" s="20"/>
      <c r="D805" s="52"/>
      <c r="E805" s="20"/>
      <c r="F805" s="20"/>
      <c r="G805" s="20"/>
      <c r="H805" s="20"/>
      <c r="I805" s="20"/>
      <c r="J805" s="20"/>
      <c r="K805" s="20"/>
      <c r="L805" s="19"/>
      <c r="M805" s="47"/>
      <c r="N805" s="20"/>
    </row>
    <row r="806" ht="22.5" customHeight="1">
      <c r="A806" s="20"/>
      <c r="B806" s="20"/>
      <c r="C806" s="20"/>
      <c r="D806" s="52"/>
      <c r="E806" s="20"/>
      <c r="F806" s="20"/>
      <c r="G806" s="20"/>
      <c r="H806" s="20"/>
      <c r="I806" s="20"/>
      <c r="J806" s="20"/>
      <c r="K806" s="20"/>
      <c r="L806" s="19"/>
      <c r="M806" s="47"/>
      <c r="N806" s="20"/>
    </row>
    <row r="807" ht="22.5" customHeight="1">
      <c r="A807" s="20"/>
      <c r="B807" s="20"/>
      <c r="C807" s="20"/>
      <c r="D807" s="52"/>
      <c r="E807" s="20"/>
      <c r="F807" s="20"/>
      <c r="G807" s="20"/>
      <c r="H807" s="20"/>
      <c r="I807" s="20"/>
      <c r="J807" s="20"/>
      <c r="K807" s="20"/>
      <c r="L807" s="19"/>
      <c r="M807" s="47"/>
      <c r="N807" s="20"/>
    </row>
    <row r="808" ht="22.5" customHeight="1">
      <c r="A808" s="20"/>
      <c r="B808" s="20"/>
      <c r="C808" s="20"/>
      <c r="D808" s="52"/>
      <c r="E808" s="20"/>
      <c r="F808" s="20"/>
      <c r="G808" s="20"/>
      <c r="H808" s="20"/>
      <c r="I808" s="20"/>
      <c r="J808" s="20"/>
      <c r="K808" s="20"/>
      <c r="L808" s="19"/>
      <c r="M808" s="47"/>
      <c r="N808" s="20"/>
    </row>
    <row r="809" ht="22.5" customHeight="1">
      <c r="A809" s="20"/>
      <c r="B809" s="20"/>
      <c r="C809" s="20"/>
      <c r="D809" s="52"/>
      <c r="E809" s="20"/>
      <c r="F809" s="20"/>
      <c r="G809" s="20"/>
      <c r="H809" s="20"/>
      <c r="I809" s="20"/>
      <c r="J809" s="20"/>
      <c r="K809" s="20"/>
      <c r="L809" s="19"/>
      <c r="M809" s="47"/>
      <c r="N809" s="20"/>
    </row>
    <row r="810" ht="22.5" customHeight="1">
      <c r="A810" s="20"/>
      <c r="B810" s="20"/>
      <c r="C810" s="20"/>
      <c r="D810" s="52"/>
      <c r="E810" s="20"/>
      <c r="F810" s="20"/>
      <c r="G810" s="20"/>
      <c r="H810" s="20"/>
      <c r="I810" s="20"/>
      <c r="J810" s="20"/>
      <c r="K810" s="20"/>
      <c r="L810" s="19"/>
      <c r="M810" s="47"/>
      <c r="N810" s="20"/>
    </row>
    <row r="811" ht="22.5" customHeight="1">
      <c r="A811" s="20"/>
      <c r="B811" s="20"/>
      <c r="C811" s="20"/>
      <c r="D811" s="52"/>
      <c r="E811" s="20"/>
      <c r="F811" s="20"/>
      <c r="G811" s="20"/>
      <c r="H811" s="20"/>
      <c r="I811" s="20"/>
      <c r="J811" s="20"/>
      <c r="K811" s="20"/>
      <c r="L811" s="19"/>
      <c r="M811" s="47"/>
      <c r="N811" s="20"/>
    </row>
    <row r="812" ht="22.5" customHeight="1">
      <c r="A812" s="20"/>
      <c r="B812" s="20"/>
      <c r="C812" s="20"/>
      <c r="D812" s="52"/>
      <c r="E812" s="20"/>
      <c r="F812" s="20"/>
      <c r="G812" s="20"/>
      <c r="H812" s="20"/>
      <c r="I812" s="20"/>
      <c r="J812" s="20"/>
      <c r="K812" s="20"/>
      <c r="L812" s="19"/>
      <c r="M812" s="47"/>
      <c r="N812" s="20"/>
    </row>
    <row r="813" ht="22.5" customHeight="1">
      <c r="A813" s="20"/>
      <c r="B813" s="20"/>
      <c r="C813" s="20"/>
      <c r="D813" s="52"/>
      <c r="E813" s="20"/>
      <c r="F813" s="20"/>
      <c r="G813" s="20"/>
      <c r="H813" s="20"/>
      <c r="I813" s="20"/>
      <c r="J813" s="20"/>
      <c r="K813" s="20"/>
      <c r="L813" s="19"/>
      <c r="M813" s="47"/>
      <c r="N813" s="20"/>
    </row>
    <row r="814" ht="22.5" customHeight="1">
      <c r="A814" s="20"/>
      <c r="B814" s="20"/>
      <c r="C814" s="20"/>
      <c r="D814" s="52"/>
      <c r="E814" s="20"/>
      <c r="F814" s="20"/>
      <c r="G814" s="20"/>
      <c r="H814" s="20"/>
      <c r="I814" s="20"/>
      <c r="J814" s="20"/>
      <c r="K814" s="20"/>
      <c r="L814" s="19"/>
      <c r="M814" s="47"/>
      <c r="N814" s="20"/>
    </row>
    <row r="815" ht="22.5" customHeight="1">
      <c r="A815" s="20"/>
      <c r="B815" s="20"/>
      <c r="C815" s="20"/>
      <c r="D815" s="52"/>
      <c r="E815" s="20"/>
      <c r="F815" s="20"/>
      <c r="G815" s="20"/>
      <c r="H815" s="20"/>
      <c r="I815" s="20"/>
      <c r="J815" s="20"/>
      <c r="K815" s="20"/>
      <c r="L815" s="19"/>
      <c r="M815" s="47"/>
      <c r="N815" s="20"/>
    </row>
    <row r="816" ht="22.5" customHeight="1">
      <c r="A816" s="20"/>
      <c r="B816" s="20"/>
      <c r="C816" s="20"/>
      <c r="D816" s="52"/>
      <c r="E816" s="20"/>
      <c r="F816" s="20"/>
      <c r="G816" s="20"/>
      <c r="H816" s="20"/>
      <c r="I816" s="20"/>
      <c r="J816" s="20"/>
      <c r="K816" s="20"/>
      <c r="L816" s="19"/>
      <c r="M816" s="47"/>
      <c r="N816" s="20"/>
    </row>
    <row r="817" ht="22.5" customHeight="1">
      <c r="A817" s="20"/>
      <c r="B817" s="20"/>
      <c r="C817" s="20"/>
      <c r="D817" s="52"/>
      <c r="E817" s="20"/>
      <c r="F817" s="20"/>
      <c r="G817" s="20"/>
      <c r="H817" s="20"/>
      <c r="I817" s="20"/>
      <c r="J817" s="20"/>
      <c r="K817" s="20"/>
      <c r="L817" s="19"/>
      <c r="M817" s="47"/>
      <c r="N817" s="20"/>
    </row>
    <row r="818" ht="22.5" customHeight="1">
      <c r="A818" s="20"/>
      <c r="B818" s="20"/>
      <c r="C818" s="20"/>
      <c r="D818" s="52"/>
      <c r="E818" s="20"/>
      <c r="F818" s="20"/>
      <c r="G818" s="20"/>
      <c r="H818" s="20"/>
      <c r="I818" s="20"/>
      <c r="J818" s="20"/>
      <c r="K818" s="20"/>
      <c r="L818" s="19"/>
      <c r="M818" s="47"/>
      <c r="N818" s="20"/>
    </row>
    <row r="819" ht="22.5" customHeight="1">
      <c r="A819" s="20"/>
      <c r="B819" s="20"/>
      <c r="C819" s="20"/>
      <c r="D819" s="52"/>
      <c r="E819" s="20"/>
      <c r="F819" s="20"/>
      <c r="G819" s="20"/>
      <c r="H819" s="20"/>
      <c r="I819" s="20"/>
      <c r="J819" s="20"/>
      <c r="K819" s="20"/>
      <c r="L819" s="19"/>
      <c r="M819" s="47"/>
      <c r="N819" s="20"/>
    </row>
    <row r="820" ht="22.5" customHeight="1">
      <c r="A820" s="20"/>
      <c r="B820" s="20"/>
      <c r="C820" s="20"/>
      <c r="D820" s="52"/>
      <c r="E820" s="20"/>
      <c r="F820" s="20"/>
      <c r="G820" s="20"/>
      <c r="H820" s="20"/>
      <c r="I820" s="20"/>
      <c r="J820" s="20"/>
      <c r="K820" s="20"/>
      <c r="L820" s="19"/>
      <c r="M820" s="47"/>
      <c r="N820" s="20"/>
    </row>
    <row r="821" ht="22.5" customHeight="1">
      <c r="A821" s="20"/>
      <c r="B821" s="20"/>
      <c r="C821" s="20"/>
      <c r="D821" s="52"/>
      <c r="E821" s="20"/>
      <c r="F821" s="20"/>
      <c r="G821" s="20"/>
      <c r="H821" s="20"/>
      <c r="I821" s="20"/>
      <c r="J821" s="20"/>
      <c r="K821" s="20"/>
      <c r="L821" s="19"/>
      <c r="M821" s="47"/>
      <c r="N821" s="20"/>
    </row>
    <row r="822" ht="22.5" customHeight="1">
      <c r="A822" s="20"/>
      <c r="B822" s="20"/>
      <c r="C822" s="20"/>
      <c r="D822" s="52"/>
      <c r="E822" s="20"/>
      <c r="F822" s="20"/>
      <c r="G822" s="20"/>
      <c r="H822" s="20"/>
      <c r="I822" s="20"/>
      <c r="J822" s="20"/>
      <c r="K822" s="20"/>
      <c r="L822" s="19"/>
      <c r="M822" s="47"/>
      <c r="N822" s="20"/>
    </row>
    <row r="823" ht="22.5" customHeight="1">
      <c r="A823" s="20"/>
      <c r="B823" s="20"/>
      <c r="C823" s="20"/>
      <c r="D823" s="52"/>
      <c r="E823" s="20"/>
      <c r="F823" s="20"/>
      <c r="G823" s="20"/>
      <c r="H823" s="20"/>
      <c r="I823" s="20"/>
      <c r="J823" s="20"/>
      <c r="K823" s="20"/>
      <c r="L823" s="19"/>
      <c r="M823" s="47"/>
      <c r="N823" s="20"/>
    </row>
    <row r="824" ht="22.5" customHeight="1">
      <c r="A824" s="20"/>
      <c r="B824" s="20"/>
      <c r="C824" s="20"/>
      <c r="D824" s="52"/>
      <c r="E824" s="20"/>
      <c r="F824" s="20"/>
      <c r="G824" s="20"/>
      <c r="H824" s="20"/>
      <c r="I824" s="20"/>
      <c r="J824" s="20"/>
      <c r="K824" s="20"/>
      <c r="L824" s="19"/>
      <c r="M824" s="47"/>
      <c r="N824" s="20"/>
    </row>
    <row r="825" ht="22.5" customHeight="1">
      <c r="A825" s="20"/>
      <c r="B825" s="20"/>
      <c r="C825" s="20"/>
      <c r="D825" s="52"/>
      <c r="E825" s="20"/>
      <c r="F825" s="20"/>
      <c r="G825" s="20"/>
      <c r="H825" s="20"/>
      <c r="I825" s="20"/>
      <c r="J825" s="20"/>
      <c r="K825" s="20"/>
      <c r="L825" s="19"/>
      <c r="M825" s="47"/>
      <c r="N825" s="20"/>
    </row>
    <row r="826" ht="22.5" customHeight="1">
      <c r="A826" s="20"/>
      <c r="B826" s="20"/>
      <c r="C826" s="20"/>
      <c r="D826" s="52"/>
      <c r="E826" s="20"/>
      <c r="F826" s="20"/>
      <c r="G826" s="20"/>
      <c r="H826" s="20"/>
      <c r="I826" s="20"/>
      <c r="J826" s="20"/>
      <c r="K826" s="20"/>
      <c r="L826" s="19"/>
      <c r="M826" s="47"/>
      <c r="N826" s="20"/>
    </row>
    <row r="827" ht="22.5" customHeight="1">
      <c r="A827" s="20"/>
      <c r="B827" s="20"/>
      <c r="C827" s="20"/>
      <c r="D827" s="52"/>
      <c r="E827" s="20"/>
      <c r="F827" s="20"/>
      <c r="G827" s="20"/>
      <c r="H827" s="20"/>
      <c r="I827" s="20"/>
      <c r="J827" s="20"/>
      <c r="K827" s="20"/>
      <c r="L827" s="19"/>
      <c r="M827" s="47"/>
      <c r="N827" s="20"/>
    </row>
    <row r="828" ht="22.5" customHeight="1">
      <c r="A828" s="20"/>
      <c r="B828" s="20"/>
      <c r="C828" s="20"/>
      <c r="D828" s="52"/>
      <c r="E828" s="20"/>
      <c r="F828" s="20"/>
      <c r="G828" s="20"/>
      <c r="H828" s="20"/>
      <c r="I828" s="20"/>
      <c r="J828" s="20"/>
      <c r="K828" s="20"/>
      <c r="L828" s="19"/>
      <c r="M828" s="47"/>
      <c r="N828" s="20"/>
    </row>
    <row r="829" ht="22.5" customHeight="1">
      <c r="A829" s="20"/>
      <c r="B829" s="20"/>
      <c r="C829" s="20"/>
      <c r="D829" s="52"/>
      <c r="E829" s="20"/>
      <c r="F829" s="20"/>
      <c r="G829" s="20"/>
      <c r="H829" s="20"/>
      <c r="I829" s="20"/>
      <c r="J829" s="20"/>
      <c r="K829" s="20"/>
      <c r="L829" s="19"/>
      <c r="M829" s="47"/>
      <c r="N829" s="20"/>
    </row>
    <row r="830" ht="22.5" customHeight="1">
      <c r="A830" s="20"/>
      <c r="B830" s="20"/>
      <c r="C830" s="20"/>
      <c r="D830" s="52"/>
      <c r="E830" s="20"/>
      <c r="F830" s="20"/>
      <c r="G830" s="20"/>
      <c r="H830" s="20"/>
      <c r="I830" s="20"/>
      <c r="J830" s="20"/>
      <c r="K830" s="20"/>
      <c r="L830" s="19"/>
      <c r="M830" s="47"/>
      <c r="N830" s="20"/>
    </row>
    <row r="831" ht="22.5" customHeight="1">
      <c r="A831" s="20"/>
      <c r="B831" s="20"/>
      <c r="C831" s="20"/>
      <c r="D831" s="52"/>
      <c r="E831" s="20"/>
      <c r="F831" s="20"/>
      <c r="G831" s="20"/>
      <c r="H831" s="20"/>
      <c r="I831" s="20"/>
      <c r="J831" s="20"/>
      <c r="K831" s="20"/>
      <c r="L831" s="19"/>
      <c r="M831" s="47"/>
      <c r="N831" s="20"/>
    </row>
    <row r="832" ht="22.5" customHeight="1">
      <c r="A832" s="20"/>
      <c r="B832" s="20"/>
      <c r="C832" s="20"/>
      <c r="D832" s="52"/>
      <c r="E832" s="20"/>
      <c r="F832" s="20"/>
      <c r="G832" s="20"/>
      <c r="H832" s="20"/>
      <c r="I832" s="20"/>
      <c r="J832" s="20"/>
      <c r="K832" s="20"/>
      <c r="L832" s="19"/>
      <c r="M832" s="47"/>
      <c r="N832" s="20"/>
    </row>
    <row r="833" ht="22.5" customHeight="1">
      <c r="A833" s="20"/>
      <c r="B833" s="20"/>
      <c r="C833" s="20"/>
      <c r="D833" s="52"/>
      <c r="E833" s="20"/>
      <c r="F833" s="20"/>
      <c r="G833" s="20"/>
      <c r="H833" s="20"/>
      <c r="I833" s="20"/>
      <c r="J833" s="20"/>
      <c r="K833" s="20"/>
      <c r="L833" s="19"/>
      <c r="M833" s="47"/>
      <c r="N833" s="20"/>
    </row>
    <row r="834" ht="22.5" customHeight="1">
      <c r="A834" s="20"/>
      <c r="B834" s="20"/>
      <c r="C834" s="20"/>
      <c r="D834" s="52"/>
      <c r="E834" s="20"/>
      <c r="F834" s="20"/>
      <c r="G834" s="20"/>
      <c r="H834" s="20"/>
      <c r="I834" s="20"/>
      <c r="J834" s="20"/>
      <c r="K834" s="20"/>
      <c r="L834" s="19"/>
      <c r="M834" s="47"/>
      <c r="N834" s="20"/>
    </row>
    <row r="835" ht="22.5" customHeight="1">
      <c r="A835" s="20"/>
      <c r="B835" s="20"/>
      <c r="C835" s="20"/>
      <c r="D835" s="52"/>
      <c r="E835" s="20"/>
      <c r="F835" s="20"/>
      <c r="G835" s="20"/>
      <c r="H835" s="20"/>
      <c r="I835" s="20"/>
      <c r="J835" s="20"/>
      <c r="K835" s="20"/>
      <c r="L835" s="19"/>
      <c r="M835" s="47"/>
      <c r="N835" s="20"/>
    </row>
    <row r="836" ht="22.5" customHeight="1">
      <c r="A836" s="20"/>
      <c r="B836" s="20"/>
      <c r="C836" s="20"/>
      <c r="D836" s="52"/>
      <c r="E836" s="20"/>
      <c r="F836" s="20"/>
      <c r="G836" s="20"/>
      <c r="H836" s="20"/>
      <c r="I836" s="20"/>
      <c r="J836" s="20"/>
      <c r="K836" s="20"/>
      <c r="L836" s="19"/>
      <c r="M836" s="47"/>
      <c r="N836" s="20"/>
    </row>
    <row r="837" ht="22.5" customHeight="1">
      <c r="A837" s="20"/>
      <c r="B837" s="20"/>
      <c r="C837" s="20"/>
      <c r="D837" s="52"/>
      <c r="E837" s="20"/>
      <c r="F837" s="20"/>
      <c r="G837" s="20"/>
      <c r="H837" s="20"/>
      <c r="I837" s="20"/>
      <c r="J837" s="20"/>
      <c r="K837" s="20"/>
      <c r="L837" s="19"/>
      <c r="M837" s="47"/>
      <c r="N837" s="20"/>
    </row>
    <row r="838" ht="22.5" customHeight="1">
      <c r="A838" s="20"/>
      <c r="B838" s="20"/>
      <c r="C838" s="20"/>
      <c r="D838" s="52"/>
      <c r="E838" s="20"/>
      <c r="F838" s="20"/>
      <c r="G838" s="20"/>
      <c r="H838" s="20"/>
      <c r="I838" s="20"/>
      <c r="J838" s="20"/>
      <c r="K838" s="20"/>
      <c r="L838" s="19"/>
      <c r="M838" s="47"/>
      <c r="N838" s="20"/>
    </row>
    <row r="839" ht="22.5" customHeight="1">
      <c r="A839" s="20"/>
      <c r="B839" s="20"/>
      <c r="C839" s="20"/>
      <c r="D839" s="52"/>
      <c r="E839" s="20"/>
      <c r="F839" s="20"/>
      <c r="G839" s="20"/>
      <c r="H839" s="20"/>
      <c r="I839" s="20"/>
      <c r="J839" s="20"/>
      <c r="K839" s="20"/>
      <c r="L839" s="19"/>
      <c r="M839" s="47"/>
      <c r="N839" s="20"/>
    </row>
    <row r="840" ht="22.5" customHeight="1">
      <c r="A840" s="20"/>
      <c r="B840" s="20"/>
      <c r="C840" s="20"/>
      <c r="D840" s="52"/>
      <c r="E840" s="20"/>
      <c r="F840" s="20"/>
      <c r="G840" s="20"/>
      <c r="H840" s="20"/>
      <c r="I840" s="20"/>
      <c r="J840" s="20"/>
      <c r="K840" s="20"/>
      <c r="L840" s="19"/>
      <c r="M840" s="47"/>
      <c r="N840" s="20"/>
    </row>
    <row r="841" ht="22.5" customHeight="1">
      <c r="A841" s="20"/>
      <c r="B841" s="20"/>
      <c r="C841" s="20"/>
      <c r="D841" s="52"/>
      <c r="E841" s="20"/>
      <c r="F841" s="20"/>
      <c r="G841" s="20"/>
      <c r="H841" s="20"/>
      <c r="I841" s="20"/>
      <c r="J841" s="20"/>
      <c r="K841" s="20"/>
      <c r="L841" s="19"/>
      <c r="M841" s="47"/>
      <c r="N841" s="20"/>
    </row>
    <row r="842" ht="22.5" customHeight="1">
      <c r="A842" s="20"/>
      <c r="B842" s="20"/>
      <c r="C842" s="20"/>
      <c r="D842" s="52"/>
      <c r="E842" s="20"/>
      <c r="F842" s="20"/>
      <c r="G842" s="20"/>
      <c r="H842" s="20"/>
      <c r="I842" s="20"/>
      <c r="J842" s="20"/>
      <c r="K842" s="20"/>
      <c r="L842" s="19"/>
      <c r="M842" s="47"/>
      <c r="N842" s="20"/>
    </row>
    <row r="843" ht="22.5" customHeight="1">
      <c r="A843" s="20"/>
      <c r="B843" s="20"/>
      <c r="C843" s="20"/>
      <c r="D843" s="52"/>
      <c r="E843" s="20"/>
      <c r="F843" s="20"/>
      <c r="G843" s="20"/>
      <c r="H843" s="20"/>
      <c r="I843" s="20"/>
      <c r="J843" s="20"/>
      <c r="K843" s="20"/>
      <c r="L843" s="19"/>
      <c r="M843" s="47"/>
      <c r="N843" s="20"/>
    </row>
    <row r="844" ht="22.5" customHeight="1">
      <c r="A844" s="20"/>
      <c r="B844" s="20"/>
      <c r="C844" s="20"/>
      <c r="D844" s="52"/>
      <c r="E844" s="20"/>
      <c r="F844" s="20"/>
      <c r="G844" s="20"/>
      <c r="H844" s="20"/>
      <c r="I844" s="20"/>
      <c r="J844" s="20"/>
      <c r="K844" s="20"/>
      <c r="L844" s="19"/>
      <c r="M844" s="47"/>
      <c r="N844" s="20"/>
    </row>
    <row r="845" ht="22.5" customHeight="1">
      <c r="A845" s="20"/>
      <c r="B845" s="20"/>
      <c r="C845" s="20"/>
      <c r="D845" s="52"/>
      <c r="E845" s="20"/>
      <c r="F845" s="20"/>
      <c r="G845" s="20"/>
      <c r="H845" s="20"/>
      <c r="I845" s="20"/>
      <c r="J845" s="20"/>
      <c r="K845" s="20"/>
      <c r="L845" s="19"/>
      <c r="M845" s="47"/>
      <c r="N845" s="20"/>
    </row>
    <row r="846" ht="22.5" customHeight="1">
      <c r="A846" s="20"/>
      <c r="B846" s="20"/>
      <c r="C846" s="20"/>
      <c r="D846" s="52"/>
      <c r="E846" s="20"/>
      <c r="F846" s="20"/>
      <c r="G846" s="20"/>
      <c r="H846" s="20"/>
      <c r="I846" s="20"/>
      <c r="J846" s="20"/>
      <c r="K846" s="20"/>
      <c r="L846" s="19"/>
      <c r="M846" s="47"/>
      <c r="N846" s="20"/>
    </row>
    <row r="847" ht="22.5" customHeight="1">
      <c r="A847" s="20"/>
      <c r="B847" s="20"/>
      <c r="C847" s="20"/>
      <c r="D847" s="52"/>
      <c r="E847" s="20"/>
      <c r="F847" s="20"/>
      <c r="G847" s="20"/>
      <c r="H847" s="20"/>
      <c r="I847" s="20"/>
      <c r="J847" s="20"/>
      <c r="K847" s="20"/>
      <c r="L847" s="19"/>
      <c r="M847" s="47"/>
      <c r="N847" s="20"/>
    </row>
    <row r="848" ht="22.5" customHeight="1">
      <c r="A848" s="20"/>
      <c r="B848" s="20"/>
      <c r="C848" s="20"/>
      <c r="D848" s="52"/>
      <c r="E848" s="20"/>
      <c r="F848" s="20"/>
      <c r="G848" s="20"/>
      <c r="H848" s="20"/>
      <c r="I848" s="20"/>
      <c r="J848" s="20"/>
      <c r="K848" s="20"/>
      <c r="L848" s="19"/>
      <c r="M848" s="47"/>
      <c r="N848" s="20"/>
    </row>
    <row r="849" ht="22.5" customHeight="1">
      <c r="A849" s="20"/>
      <c r="B849" s="20"/>
      <c r="C849" s="20"/>
      <c r="D849" s="52"/>
      <c r="E849" s="20"/>
      <c r="F849" s="20"/>
      <c r="G849" s="20"/>
      <c r="H849" s="20"/>
      <c r="I849" s="20"/>
      <c r="J849" s="20"/>
      <c r="K849" s="20"/>
      <c r="L849" s="19"/>
      <c r="M849" s="47"/>
      <c r="N849" s="20"/>
    </row>
    <row r="850" ht="22.5" customHeight="1">
      <c r="A850" s="20"/>
      <c r="B850" s="20"/>
      <c r="C850" s="20"/>
      <c r="D850" s="52"/>
      <c r="E850" s="20"/>
      <c r="F850" s="20"/>
      <c r="G850" s="20"/>
      <c r="H850" s="20"/>
      <c r="I850" s="20"/>
      <c r="J850" s="20"/>
      <c r="K850" s="20"/>
      <c r="L850" s="19"/>
      <c r="M850" s="47"/>
      <c r="N850" s="20"/>
    </row>
    <row r="851" ht="22.5" customHeight="1">
      <c r="A851" s="20"/>
      <c r="B851" s="20"/>
      <c r="C851" s="20"/>
      <c r="D851" s="52"/>
      <c r="E851" s="20"/>
      <c r="F851" s="20"/>
      <c r="G851" s="20"/>
      <c r="H851" s="20"/>
      <c r="I851" s="20"/>
      <c r="J851" s="20"/>
      <c r="K851" s="20"/>
      <c r="L851" s="19"/>
      <c r="M851" s="47"/>
      <c r="N851" s="20"/>
    </row>
    <row r="852" ht="22.5" customHeight="1">
      <c r="A852" s="20"/>
      <c r="B852" s="20"/>
      <c r="C852" s="20"/>
      <c r="D852" s="52"/>
      <c r="E852" s="20"/>
      <c r="F852" s="20"/>
      <c r="G852" s="20"/>
      <c r="H852" s="20"/>
      <c r="I852" s="20"/>
      <c r="J852" s="20"/>
      <c r="K852" s="20"/>
      <c r="L852" s="19"/>
      <c r="M852" s="47"/>
      <c r="N852" s="20"/>
    </row>
    <row r="853" ht="22.5" customHeight="1">
      <c r="A853" s="20"/>
      <c r="B853" s="20"/>
      <c r="C853" s="20"/>
      <c r="D853" s="52"/>
      <c r="E853" s="20"/>
      <c r="F853" s="20"/>
      <c r="G853" s="20"/>
      <c r="H853" s="20"/>
      <c r="I853" s="20"/>
      <c r="J853" s="20"/>
      <c r="K853" s="20"/>
      <c r="L853" s="19"/>
      <c r="M853" s="47"/>
      <c r="N853" s="20"/>
    </row>
    <row r="854" ht="22.5" customHeight="1">
      <c r="A854" s="20"/>
      <c r="B854" s="20"/>
      <c r="C854" s="20"/>
      <c r="D854" s="52"/>
      <c r="E854" s="20"/>
      <c r="F854" s="20"/>
      <c r="G854" s="20"/>
      <c r="H854" s="20"/>
      <c r="I854" s="20"/>
      <c r="J854" s="20"/>
      <c r="K854" s="20"/>
      <c r="L854" s="19"/>
      <c r="M854" s="47"/>
      <c r="N854" s="20"/>
    </row>
    <row r="855" ht="22.5" customHeight="1">
      <c r="A855" s="20"/>
      <c r="B855" s="20"/>
      <c r="C855" s="20"/>
      <c r="D855" s="52"/>
      <c r="E855" s="20"/>
      <c r="F855" s="20"/>
      <c r="G855" s="20"/>
      <c r="H855" s="20"/>
      <c r="I855" s="20"/>
      <c r="J855" s="20"/>
      <c r="K855" s="20"/>
      <c r="L855" s="19"/>
      <c r="M855" s="47"/>
      <c r="N855" s="20"/>
    </row>
    <row r="856" ht="22.5" customHeight="1">
      <c r="A856" s="20"/>
      <c r="B856" s="20"/>
      <c r="C856" s="20"/>
      <c r="D856" s="52"/>
      <c r="E856" s="20"/>
      <c r="F856" s="20"/>
      <c r="G856" s="20"/>
      <c r="H856" s="20"/>
      <c r="I856" s="20"/>
      <c r="J856" s="20"/>
      <c r="K856" s="20"/>
      <c r="L856" s="19"/>
      <c r="M856" s="47"/>
      <c r="N856" s="20"/>
    </row>
    <row r="857" ht="22.5" customHeight="1">
      <c r="A857" s="20"/>
      <c r="B857" s="20"/>
      <c r="C857" s="20"/>
      <c r="D857" s="52"/>
      <c r="E857" s="20"/>
      <c r="F857" s="20"/>
      <c r="G857" s="20"/>
      <c r="H857" s="20"/>
      <c r="I857" s="20"/>
      <c r="J857" s="20"/>
      <c r="K857" s="20"/>
      <c r="L857" s="19"/>
      <c r="M857" s="47"/>
      <c r="N857" s="20"/>
    </row>
    <row r="858" ht="22.5" customHeight="1">
      <c r="A858" s="20"/>
      <c r="B858" s="20"/>
      <c r="C858" s="20"/>
      <c r="D858" s="52"/>
      <c r="E858" s="20"/>
      <c r="F858" s="20"/>
      <c r="G858" s="20"/>
      <c r="H858" s="20"/>
      <c r="I858" s="20"/>
      <c r="J858" s="20"/>
      <c r="K858" s="20"/>
      <c r="L858" s="19"/>
      <c r="M858" s="47"/>
      <c r="N858" s="20"/>
    </row>
    <row r="859" ht="22.5" customHeight="1">
      <c r="A859" s="20"/>
      <c r="B859" s="20"/>
      <c r="C859" s="20"/>
      <c r="D859" s="52"/>
      <c r="E859" s="20"/>
      <c r="F859" s="20"/>
      <c r="G859" s="20"/>
      <c r="H859" s="20"/>
      <c r="I859" s="20"/>
      <c r="J859" s="20"/>
      <c r="K859" s="20"/>
      <c r="L859" s="19"/>
      <c r="M859" s="47"/>
      <c r="N859" s="20"/>
    </row>
    <row r="860" ht="22.5" customHeight="1">
      <c r="A860" s="20"/>
      <c r="B860" s="20"/>
      <c r="C860" s="20"/>
      <c r="D860" s="52"/>
      <c r="E860" s="20"/>
      <c r="F860" s="20"/>
      <c r="G860" s="20"/>
      <c r="H860" s="20"/>
      <c r="I860" s="20"/>
      <c r="J860" s="20"/>
      <c r="K860" s="20"/>
      <c r="L860" s="19"/>
      <c r="M860" s="47"/>
      <c r="N860" s="20"/>
    </row>
    <row r="861" ht="22.5" customHeight="1">
      <c r="A861" s="20"/>
      <c r="B861" s="20"/>
      <c r="C861" s="20"/>
      <c r="D861" s="52"/>
      <c r="E861" s="20"/>
      <c r="F861" s="20"/>
      <c r="G861" s="20"/>
      <c r="H861" s="20"/>
      <c r="I861" s="20"/>
      <c r="J861" s="20"/>
      <c r="K861" s="20"/>
      <c r="L861" s="19"/>
      <c r="M861" s="47"/>
      <c r="N861" s="20"/>
    </row>
    <row r="862" ht="22.5" customHeight="1">
      <c r="A862" s="20"/>
      <c r="B862" s="20"/>
      <c r="C862" s="20"/>
      <c r="D862" s="52"/>
      <c r="E862" s="20"/>
      <c r="F862" s="20"/>
      <c r="G862" s="20"/>
      <c r="H862" s="20"/>
      <c r="I862" s="20"/>
      <c r="J862" s="20"/>
      <c r="K862" s="20"/>
      <c r="L862" s="19"/>
      <c r="M862" s="47"/>
      <c r="N862" s="20"/>
    </row>
    <row r="863" ht="22.5" customHeight="1">
      <c r="A863" s="20"/>
      <c r="B863" s="20"/>
      <c r="C863" s="20"/>
      <c r="D863" s="52"/>
      <c r="E863" s="20"/>
      <c r="F863" s="20"/>
      <c r="G863" s="20"/>
      <c r="H863" s="20"/>
      <c r="I863" s="20"/>
      <c r="J863" s="20"/>
      <c r="K863" s="20"/>
      <c r="L863" s="19"/>
      <c r="M863" s="47"/>
      <c r="N863" s="20"/>
    </row>
    <row r="864" ht="22.5" customHeight="1">
      <c r="A864" s="20"/>
      <c r="B864" s="20"/>
      <c r="C864" s="20"/>
      <c r="D864" s="52"/>
      <c r="E864" s="20"/>
      <c r="F864" s="20"/>
      <c r="G864" s="20"/>
      <c r="H864" s="20"/>
      <c r="I864" s="20"/>
      <c r="J864" s="20"/>
      <c r="K864" s="20"/>
      <c r="L864" s="19"/>
      <c r="M864" s="47"/>
      <c r="N864" s="20"/>
    </row>
    <row r="865" ht="22.5" customHeight="1">
      <c r="A865" s="20"/>
      <c r="B865" s="20"/>
      <c r="C865" s="20"/>
      <c r="D865" s="52"/>
      <c r="E865" s="20"/>
      <c r="F865" s="20"/>
      <c r="G865" s="20"/>
      <c r="H865" s="20"/>
      <c r="I865" s="20"/>
      <c r="J865" s="20"/>
      <c r="K865" s="20"/>
      <c r="L865" s="19"/>
      <c r="M865" s="47"/>
      <c r="N865" s="20"/>
    </row>
    <row r="866" ht="22.5" customHeight="1">
      <c r="A866" s="20"/>
      <c r="B866" s="20"/>
      <c r="C866" s="20"/>
      <c r="D866" s="52"/>
      <c r="E866" s="20"/>
      <c r="F866" s="20"/>
      <c r="G866" s="20"/>
      <c r="H866" s="20"/>
      <c r="I866" s="20"/>
      <c r="J866" s="20"/>
      <c r="K866" s="20"/>
      <c r="L866" s="19"/>
      <c r="M866" s="47"/>
      <c r="N866" s="20"/>
    </row>
    <row r="867" ht="22.5" customHeight="1">
      <c r="A867" s="20"/>
      <c r="B867" s="20"/>
      <c r="C867" s="20"/>
      <c r="D867" s="52"/>
      <c r="E867" s="20"/>
      <c r="F867" s="20"/>
      <c r="G867" s="20"/>
      <c r="H867" s="20"/>
      <c r="I867" s="20"/>
      <c r="J867" s="20"/>
      <c r="K867" s="20"/>
      <c r="L867" s="19"/>
      <c r="M867" s="47"/>
      <c r="N867" s="20"/>
    </row>
    <row r="868" ht="22.5" customHeight="1">
      <c r="A868" s="20"/>
      <c r="B868" s="20"/>
      <c r="C868" s="20"/>
      <c r="D868" s="52"/>
      <c r="E868" s="20"/>
      <c r="F868" s="20"/>
      <c r="G868" s="20"/>
      <c r="H868" s="20"/>
      <c r="I868" s="20"/>
      <c r="J868" s="20"/>
      <c r="K868" s="20"/>
      <c r="L868" s="19"/>
      <c r="M868" s="47"/>
      <c r="N868" s="20"/>
    </row>
    <row r="869" ht="22.5" customHeight="1">
      <c r="A869" s="20"/>
      <c r="B869" s="20"/>
      <c r="C869" s="20"/>
      <c r="D869" s="52"/>
      <c r="E869" s="20"/>
      <c r="F869" s="20"/>
      <c r="G869" s="20"/>
      <c r="H869" s="20"/>
      <c r="I869" s="20"/>
      <c r="J869" s="20"/>
      <c r="K869" s="20"/>
      <c r="L869" s="19"/>
      <c r="M869" s="47"/>
      <c r="N869" s="20"/>
    </row>
    <row r="870" ht="22.5" customHeight="1">
      <c r="A870" s="20"/>
      <c r="B870" s="20"/>
      <c r="C870" s="20"/>
      <c r="D870" s="52"/>
      <c r="E870" s="20"/>
      <c r="F870" s="20"/>
      <c r="G870" s="20"/>
      <c r="H870" s="20"/>
      <c r="I870" s="20"/>
      <c r="J870" s="20"/>
      <c r="K870" s="20"/>
      <c r="L870" s="19"/>
      <c r="M870" s="47"/>
      <c r="N870" s="20"/>
    </row>
    <row r="871" ht="22.5" customHeight="1">
      <c r="A871" s="20"/>
      <c r="B871" s="20"/>
      <c r="C871" s="20"/>
      <c r="D871" s="52"/>
      <c r="E871" s="20"/>
      <c r="F871" s="20"/>
      <c r="G871" s="20"/>
      <c r="H871" s="20"/>
      <c r="I871" s="20"/>
      <c r="J871" s="20"/>
      <c r="K871" s="20"/>
      <c r="L871" s="19"/>
      <c r="M871" s="47"/>
      <c r="N871" s="20"/>
    </row>
    <row r="872" ht="22.5" customHeight="1">
      <c r="A872" s="20"/>
      <c r="B872" s="20"/>
      <c r="C872" s="20"/>
      <c r="D872" s="52"/>
      <c r="E872" s="20"/>
      <c r="F872" s="20"/>
      <c r="G872" s="20"/>
      <c r="H872" s="20"/>
      <c r="I872" s="20"/>
      <c r="J872" s="20"/>
      <c r="K872" s="20"/>
      <c r="L872" s="19"/>
      <c r="M872" s="47"/>
      <c r="N872" s="20"/>
    </row>
    <row r="873" ht="22.5" customHeight="1">
      <c r="A873" s="20"/>
      <c r="B873" s="20"/>
      <c r="C873" s="20"/>
      <c r="D873" s="52"/>
      <c r="E873" s="20"/>
      <c r="F873" s="20"/>
      <c r="G873" s="20"/>
      <c r="H873" s="20"/>
      <c r="I873" s="20"/>
      <c r="J873" s="20"/>
      <c r="K873" s="20"/>
      <c r="L873" s="19"/>
      <c r="M873" s="47"/>
      <c r="N873" s="20"/>
    </row>
    <row r="874" ht="22.5" customHeight="1">
      <c r="A874" s="20"/>
      <c r="B874" s="20"/>
      <c r="C874" s="20"/>
      <c r="D874" s="52"/>
      <c r="E874" s="20"/>
      <c r="F874" s="20"/>
      <c r="G874" s="20"/>
      <c r="H874" s="20"/>
      <c r="I874" s="20"/>
      <c r="J874" s="20"/>
      <c r="K874" s="20"/>
      <c r="L874" s="19"/>
      <c r="M874" s="47"/>
      <c r="N874" s="20"/>
    </row>
    <row r="875" ht="22.5" customHeight="1">
      <c r="A875" s="20"/>
      <c r="B875" s="20"/>
      <c r="C875" s="20"/>
      <c r="D875" s="52"/>
      <c r="E875" s="20"/>
      <c r="F875" s="20"/>
      <c r="G875" s="20"/>
      <c r="H875" s="20"/>
      <c r="I875" s="20"/>
      <c r="J875" s="20"/>
      <c r="K875" s="20"/>
      <c r="L875" s="19"/>
      <c r="M875" s="47"/>
      <c r="N875" s="20"/>
    </row>
    <row r="876" ht="22.5" customHeight="1">
      <c r="A876" s="20"/>
      <c r="B876" s="20"/>
      <c r="C876" s="20"/>
      <c r="D876" s="52"/>
      <c r="E876" s="20"/>
      <c r="F876" s="20"/>
      <c r="G876" s="20"/>
      <c r="H876" s="20"/>
      <c r="I876" s="20"/>
      <c r="J876" s="20"/>
      <c r="K876" s="20"/>
      <c r="L876" s="19"/>
      <c r="M876" s="47"/>
      <c r="N876" s="20"/>
    </row>
    <row r="877" ht="22.5" customHeight="1">
      <c r="A877" s="20"/>
      <c r="B877" s="20"/>
      <c r="C877" s="20"/>
      <c r="D877" s="52"/>
      <c r="E877" s="20"/>
      <c r="F877" s="20"/>
      <c r="G877" s="20"/>
      <c r="H877" s="20"/>
      <c r="I877" s="20"/>
      <c r="J877" s="20"/>
      <c r="K877" s="20"/>
      <c r="L877" s="19"/>
      <c r="M877" s="47"/>
      <c r="N877" s="20"/>
    </row>
    <row r="878" ht="22.5" customHeight="1">
      <c r="A878" s="20"/>
      <c r="B878" s="20"/>
      <c r="C878" s="20"/>
      <c r="D878" s="52"/>
      <c r="E878" s="20"/>
      <c r="F878" s="20"/>
      <c r="G878" s="20"/>
      <c r="H878" s="20"/>
      <c r="I878" s="20"/>
      <c r="J878" s="20"/>
      <c r="K878" s="20"/>
      <c r="L878" s="19"/>
      <c r="M878" s="47"/>
      <c r="N878" s="20"/>
    </row>
    <row r="879" ht="22.5" customHeight="1">
      <c r="A879" s="20"/>
      <c r="B879" s="20"/>
      <c r="C879" s="20"/>
      <c r="D879" s="52"/>
      <c r="E879" s="20"/>
      <c r="F879" s="20"/>
      <c r="G879" s="20"/>
      <c r="H879" s="20"/>
      <c r="I879" s="20"/>
      <c r="J879" s="20"/>
      <c r="K879" s="20"/>
      <c r="L879" s="19"/>
      <c r="M879" s="47"/>
      <c r="N879" s="20"/>
    </row>
    <row r="880" ht="22.5" customHeight="1">
      <c r="A880" s="20"/>
      <c r="B880" s="20"/>
      <c r="C880" s="20"/>
      <c r="D880" s="52"/>
      <c r="E880" s="20"/>
      <c r="F880" s="20"/>
      <c r="G880" s="20"/>
      <c r="H880" s="20"/>
      <c r="I880" s="20"/>
      <c r="J880" s="20"/>
      <c r="K880" s="20"/>
      <c r="L880" s="19"/>
      <c r="M880" s="47"/>
      <c r="N880" s="20"/>
    </row>
    <row r="881" ht="22.5" customHeight="1">
      <c r="A881" s="20"/>
      <c r="B881" s="20"/>
      <c r="C881" s="20"/>
      <c r="D881" s="52"/>
      <c r="E881" s="20"/>
      <c r="F881" s="20"/>
      <c r="G881" s="20"/>
      <c r="H881" s="20"/>
      <c r="I881" s="20"/>
      <c r="J881" s="20"/>
      <c r="K881" s="20"/>
      <c r="L881" s="19"/>
      <c r="M881" s="47"/>
      <c r="N881" s="20"/>
    </row>
    <row r="882" ht="22.5" customHeight="1">
      <c r="A882" s="20"/>
      <c r="B882" s="20"/>
      <c r="C882" s="20"/>
      <c r="D882" s="52"/>
      <c r="E882" s="20"/>
      <c r="F882" s="20"/>
      <c r="G882" s="20"/>
      <c r="H882" s="20"/>
      <c r="I882" s="20"/>
      <c r="J882" s="20"/>
      <c r="K882" s="20"/>
      <c r="L882" s="19"/>
      <c r="M882" s="47"/>
      <c r="N882" s="20"/>
    </row>
    <row r="883" ht="22.5" customHeight="1">
      <c r="A883" s="20"/>
      <c r="B883" s="20"/>
      <c r="C883" s="20"/>
      <c r="D883" s="52"/>
      <c r="E883" s="20"/>
      <c r="F883" s="20"/>
      <c r="G883" s="20"/>
      <c r="H883" s="20"/>
      <c r="I883" s="20"/>
      <c r="J883" s="20"/>
      <c r="K883" s="20"/>
      <c r="L883" s="19"/>
      <c r="M883" s="47"/>
      <c r="N883" s="20"/>
    </row>
    <row r="884" ht="22.5" customHeight="1">
      <c r="A884" s="20"/>
      <c r="B884" s="20"/>
      <c r="C884" s="20"/>
      <c r="D884" s="52"/>
      <c r="E884" s="20"/>
      <c r="F884" s="20"/>
      <c r="G884" s="20"/>
      <c r="H884" s="20"/>
      <c r="I884" s="20"/>
      <c r="J884" s="20"/>
      <c r="K884" s="20"/>
      <c r="L884" s="19"/>
      <c r="M884" s="47"/>
      <c r="N884" s="20"/>
    </row>
    <row r="885" ht="22.5" customHeight="1">
      <c r="A885" s="20"/>
      <c r="B885" s="20"/>
      <c r="C885" s="20"/>
      <c r="D885" s="52"/>
      <c r="E885" s="20"/>
      <c r="F885" s="20"/>
      <c r="G885" s="20"/>
      <c r="H885" s="20"/>
      <c r="I885" s="20"/>
      <c r="J885" s="20"/>
      <c r="K885" s="20"/>
      <c r="L885" s="19"/>
      <c r="M885" s="47"/>
      <c r="N885" s="20"/>
    </row>
    <row r="886" ht="22.5" customHeight="1">
      <c r="A886" s="20"/>
      <c r="B886" s="20"/>
      <c r="C886" s="20"/>
      <c r="D886" s="52"/>
      <c r="E886" s="20"/>
      <c r="F886" s="20"/>
      <c r="G886" s="20"/>
      <c r="H886" s="20"/>
      <c r="I886" s="20"/>
      <c r="J886" s="20"/>
      <c r="K886" s="20"/>
      <c r="L886" s="19"/>
      <c r="M886" s="47"/>
      <c r="N886" s="20"/>
    </row>
    <row r="887" ht="22.5" customHeight="1">
      <c r="A887" s="20"/>
      <c r="B887" s="20"/>
      <c r="C887" s="20"/>
      <c r="D887" s="52"/>
      <c r="E887" s="20"/>
      <c r="F887" s="20"/>
      <c r="G887" s="20"/>
      <c r="H887" s="20"/>
      <c r="I887" s="20"/>
      <c r="J887" s="20"/>
      <c r="K887" s="20"/>
      <c r="L887" s="19"/>
      <c r="M887" s="47"/>
      <c r="N887" s="20"/>
    </row>
    <row r="888" ht="22.5" customHeight="1">
      <c r="A888" s="20"/>
      <c r="B888" s="20"/>
      <c r="C888" s="20"/>
      <c r="D888" s="52"/>
      <c r="E888" s="20"/>
      <c r="F888" s="20"/>
      <c r="G888" s="20"/>
      <c r="H888" s="20"/>
      <c r="I888" s="20"/>
      <c r="J888" s="20"/>
      <c r="K888" s="20"/>
      <c r="L888" s="19"/>
      <c r="M888" s="47"/>
      <c r="N888" s="20"/>
    </row>
    <row r="889" ht="22.5" customHeight="1">
      <c r="A889" s="20"/>
      <c r="B889" s="20"/>
      <c r="C889" s="20"/>
      <c r="D889" s="52"/>
      <c r="E889" s="20"/>
      <c r="F889" s="20"/>
      <c r="G889" s="20"/>
      <c r="H889" s="20"/>
      <c r="I889" s="20"/>
      <c r="J889" s="20"/>
      <c r="K889" s="20"/>
      <c r="L889" s="19"/>
      <c r="M889" s="47"/>
      <c r="N889" s="20"/>
    </row>
    <row r="890" ht="22.5" customHeight="1">
      <c r="A890" s="20"/>
      <c r="B890" s="20"/>
      <c r="C890" s="20"/>
      <c r="D890" s="52"/>
      <c r="E890" s="20"/>
      <c r="F890" s="20"/>
      <c r="G890" s="20"/>
      <c r="H890" s="20"/>
      <c r="I890" s="20"/>
      <c r="J890" s="20"/>
      <c r="K890" s="20"/>
      <c r="L890" s="19"/>
      <c r="M890" s="47"/>
      <c r="N890" s="20"/>
    </row>
    <row r="891" ht="22.5" customHeight="1">
      <c r="A891" s="20"/>
      <c r="B891" s="20"/>
      <c r="C891" s="20"/>
      <c r="D891" s="52"/>
      <c r="E891" s="20"/>
      <c r="F891" s="20"/>
      <c r="G891" s="20"/>
      <c r="H891" s="20"/>
      <c r="I891" s="20"/>
      <c r="J891" s="20"/>
      <c r="K891" s="20"/>
      <c r="L891" s="19"/>
      <c r="M891" s="47"/>
      <c r="N891" s="20"/>
    </row>
    <row r="892" ht="22.5" customHeight="1">
      <c r="A892" s="20"/>
      <c r="B892" s="20"/>
      <c r="C892" s="20"/>
      <c r="D892" s="52"/>
      <c r="E892" s="20"/>
      <c r="F892" s="20"/>
      <c r="G892" s="20"/>
      <c r="H892" s="20"/>
      <c r="I892" s="20"/>
      <c r="J892" s="20"/>
      <c r="K892" s="20"/>
      <c r="L892" s="19"/>
      <c r="M892" s="47"/>
      <c r="N892" s="20"/>
    </row>
    <row r="893" ht="22.5" customHeight="1">
      <c r="A893" s="20"/>
      <c r="B893" s="20"/>
      <c r="C893" s="20"/>
      <c r="D893" s="52"/>
      <c r="E893" s="20"/>
      <c r="F893" s="20"/>
      <c r="G893" s="20"/>
      <c r="H893" s="20"/>
      <c r="I893" s="20"/>
      <c r="J893" s="20"/>
      <c r="K893" s="20"/>
      <c r="L893" s="19"/>
      <c r="M893" s="47"/>
      <c r="N893" s="20"/>
    </row>
    <row r="894" ht="22.5" customHeight="1">
      <c r="A894" s="20"/>
      <c r="B894" s="20"/>
      <c r="C894" s="20"/>
      <c r="D894" s="52"/>
      <c r="E894" s="20"/>
      <c r="F894" s="20"/>
      <c r="G894" s="20"/>
      <c r="H894" s="20"/>
      <c r="I894" s="20"/>
      <c r="J894" s="20"/>
      <c r="K894" s="20"/>
      <c r="L894" s="19"/>
      <c r="M894" s="47"/>
      <c r="N894" s="20"/>
    </row>
    <row r="895" ht="22.5" customHeight="1">
      <c r="A895" s="20"/>
      <c r="B895" s="20"/>
      <c r="C895" s="20"/>
      <c r="D895" s="52"/>
      <c r="E895" s="20"/>
      <c r="F895" s="20"/>
      <c r="G895" s="20"/>
      <c r="H895" s="20"/>
      <c r="I895" s="20"/>
      <c r="J895" s="20"/>
      <c r="K895" s="20"/>
      <c r="L895" s="19"/>
      <c r="M895" s="47"/>
      <c r="N895" s="20"/>
    </row>
    <row r="896" ht="22.5" customHeight="1">
      <c r="A896" s="20"/>
      <c r="B896" s="20"/>
      <c r="C896" s="20"/>
      <c r="D896" s="52"/>
      <c r="E896" s="20"/>
      <c r="F896" s="20"/>
      <c r="G896" s="20"/>
      <c r="H896" s="20"/>
      <c r="I896" s="20"/>
      <c r="J896" s="20"/>
      <c r="K896" s="20"/>
      <c r="L896" s="19"/>
      <c r="M896" s="47"/>
      <c r="N896" s="20"/>
    </row>
    <row r="897" ht="22.5" customHeight="1">
      <c r="A897" s="20"/>
      <c r="B897" s="20"/>
      <c r="C897" s="20"/>
      <c r="D897" s="52"/>
      <c r="E897" s="20"/>
      <c r="F897" s="20"/>
      <c r="G897" s="20"/>
      <c r="H897" s="20"/>
      <c r="I897" s="20"/>
      <c r="J897" s="20"/>
      <c r="K897" s="20"/>
      <c r="L897" s="19"/>
      <c r="M897" s="47"/>
      <c r="N897" s="20"/>
    </row>
    <row r="898" ht="22.5" customHeight="1">
      <c r="A898" s="20"/>
      <c r="B898" s="20"/>
      <c r="C898" s="20"/>
      <c r="D898" s="52"/>
      <c r="E898" s="20"/>
      <c r="F898" s="20"/>
      <c r="G898" s="20"/>
      <c r="H898" s="20"/>
      <c r="I898" s="20"/>
      <c r="J898" s="20"/>
      <c r="K898" s="20"/>
      <c r="L898" s="19"/>
      <c r="M898" s="47"/>
      <c r="N898" s="20"/>
    </row>
    <row r="899" ht="22.5" customHeight="1">
      <c r="A899" s="20"/>
      <c r="B899" s="20"/>
      <c r="C899" s="20"/>
      <c r="D899" s="52"/>
      <c r="E899" s="20"/>
      <c r="F899" s="20"/>
      <c r="G899" s="20"/>
      <c r="H899" s="20"/>
      <c r="I899" s="20"/>
      <c r="J899" s="20"/>
      <c r="K899" s="20"/>
      <c r="L899" s="19"/>
      <c r="M899" s="47"/>
      <c r="N899" s="20"/>
    </row>
    <row r="900" ht="22.5" customHeight="1">
      <c r="A900" s="20"/>
      <c r="B900" s="20"/>
      <c r="C900" s="20"/>
      <c r="D900" s="52"/>
      <c r="E900" s="20"/>
      <c r="F900" s="20"/>
      <c r="G900" s="20"/>
      <c r="H900" s="20"/>
      <c r="I900" s="20"/>
      <c r="J900" s="20"/>
      <c r="K900" s="20"/>
      <c r="L900" s="19"/>
      <c r="M900" s="47"/>
      <c r="N900" s="20"/>
    </row>
    <row r="901" ht="22.5" customHeight="1">
      <c r="A901" s="20"/>
      <c r="B901" s="20"/>
      <c r="C901" s="20"/>
      <c r="D901" s="52"/>
      <c r="E901" s="20"/>
      <c r="F901" s="20"/>
      <c r="G901" s="20"/>
      <c r="H901" s="20"/>
      <c r="I901" s="20"/>
      <c r="J901" s="20"/>
      <c r="K901" s="20"/>
      <c r="L901" s="19"/>
      <c r="M901" s="47"/>
      <c r="N901" s="20"/>
    </row>
    <row r="902" ht="22.5" customHeight="1">
      <c r="A902" s="20"/>
      <c r="B902" s="20"/>
      <c r="C902" s="20"/>
      <c r="D902" s="52"/>
      <c r="E902" s="20"/>
      <c r="F902" s="20"/>
      <c r="G902" s="20"/>
      <c r="H902" s="20"/>
      <c r="I902" s="20"/>
      <c r="J902" s="20"/>
      <c r="K902" s="20"/>
      <c r="L902" s="19"/>
      <c r="M902" s="47"/>
      <c r="N902" s="20"/>
    </row>
    <row r="903" ht="22.5" customHeight="1">
      <c r="A903" s="20"/>
      <c r="B903" s="20"/>
      <c r="C903" s="20"/>
      <c r="D903" s="52"/>
      <c r="E903" s="20"/>
      <c r="F903" s="20"/>
      <c r="G903" s="20"/>
      <c r="H903" s="20"/>
      <c r="I903" s="20"/>
      <c r="J903" s="20"/>
      <c r="K903" s="20"/>
      <c r="L903" s="19"/>
      <c r="M903" s="47"/>
      <c r="N903" s="20"/>
    </row>
    <row r="904" ht="22.5" customHeight="1">
      <c r="A904" s="20"/>
      <c r="B904" s="20"/>
      <c r="C904" s="20"/>
      <c r="D904" s="52"/>
      <c r="E904" s="20"/>
      <c r="F904" s="20"/>
      <c r="G904" s="20"/>
      <c r="H904" s="20"/>
      <c r="I904" s="20"/>
      <c r="J904" s="20"/>
      <c r="K904" s="20"/>
      <c r="L904" s="19"/>
      <c r="M904" s="47"/>
      <c r="N904" s="20"/>
    </row>
    <row r="905" ht="22.5" customHeight="1">
      <c r="A905" s="20"/>
      <c r="B905" s="20"/>
      <c r="C905" s="20"/>
      <c r="D905" s="52"/>
      <c r="E905" s="20"/>
      <c r="F905" s="20"/>
      <c r="G905" s="20"/>
      <c r="H905" s="20"/>
      <c r="I905" s="20"/>
      <c r="J905" s="20"/>
      <c r="K905" s="20"/>
      <c r="L905" s="19"/>
      <c r="M905" s="47"/>
      <c r="N905" s="20"/>
    </row>
    <row r="906" ht="22.5" customHeight="1">
      <c r="A906" s="20"/>
      <c r="B906" s="20"/>
      <c r="C906" s="20"/>
      <c r="D906" s="52"/>
      <c r="E906" s="20"/>
      <c r="F906" s="20"/>
      <c r="G906" s="20"/>
      <c r="H906" s="20"/>
      <c r="I906" s="20"/>
      <c r="J906" s="20"/>
      <c r="K906" s="20"/>
      <c r="L906" s="19"/>
      <c r="M906" s="47"/>
      <c r="N906" s="20"/>
    </row>
    <row r="907" ht="22.5" customHeight="1">
      <c r="A907" s="20"/>
      <c r="B907" s="20"/>
      <c r="C907" s="20"/>
      <c r="D907" s="52"/>
      <c r="E907" s="20"/>
      <c r="F907" s="20"/>
      <c r="G907" s="20"/>
      <c r="H907" s="20"/>
      <c r="I907" s="20"/>
      <c r="J907" s="20"/>
      <c r="K907" s="20"/>
      <c r="L907" s="19"/>
      <c r="M907" s="47"/>
      <c r="N907" s="20"/>
    </row>
    <row r="908" ht="22.5" customHeight="1">
      <c r="A908" s="20"/>
      <c r="B908" s="20"/>
      <c r="C908" s="20"/>
      <c r="D908" s="52"/>
      <c r="E908" s="20"/>
      <c r="F908" s="20"/>
      <c r="G908" s="20"/>
      <c r="H908" s="20"/>
      <c r="I908" s="20"/>
      <c r="J908" s="20"/>
      <c r="K908" s="20"/>
      <c r="L908" s="19"/>
      <c r="M908" s="47"/>
      <c r="N908" s="20"/>
    </row>
    <row r="909" ht="22.5" customHeight="1">
      <c r="A909" s="20"/>
      <c r="B909" s="20"/>
      <c r="C909" s="20"/>
      <c r="D909" s="52"/>
      <c r="E909" s="20"/>
      <c r="F909" s="20"/>
      <c r="G909" s="20"/>
      <c r="H909" s="20"/>
      <c r="I909" s="20"/>
      <c r="J909" s="20"/>
      <c r="K909" s="20"/>
      <c r="L909" s="19"/>
      <c r="M909" s="47"/>
      <c r="N909" s="20"/>
    </row>
    <row r="910" ht="22.5" customHeight="1">
      <c r="A910" s="20"/>
      <c r="B910" s="20"/>
      <c r="C910" s="20"/>
      <c r="D910" s="52"/>
      <c r="E910" s="20"/>
      <c r="F910" s="20"/>
      <c r="G910" s="20"/>
      <c r="H910" s="20"/>
      <c r="I910" s="20"/>
      <c r="J910" s="20"/>
      <c r="K910" s="20"/>
      <c r="L910" s="19"/>
      <c r="M910" s="47"/>
      <c r="N910" s="20"/>
    </row>
    <row r="911" ht="22.5" customHeight="1">
      <c r="A911" s="20"/>
      <c r="B911" s="20"/>
      <c r="C911" s="20"/>
      <c r="D911" s="52"/>
      <c r="E911" s="20"/>
      <c r="F911" s="20"/>
      <c r="G911" s="20"/>
      <c r="H911" s="20"/>
      <c r="I911" s="20"/>
      <c r="J911" s="20"/>
      <c r="K911" s="20"/>
      <c r="L911" s="19"/>
      <c r="M911" s="47"/>
      <c r="N911" s="20"/>
    </row>
    <row r="912" ht="22.5" customHeight="1">
      <c r="A912" s="20"/>
      <c r="B912" s="20"/>
      <c r="C912" s="20"/>
      <c r="D912" s="52"/>
      <c r="E912" s="20"/>
      <c r="F912" s="20"/>
      <c r="G912" s="20"/>
      <c r="H912" s="20"/>
      <c r="I912" s="20"/>
      <c r="J912" s="20"/>
      <c r="K912" s="20"/>
      <c r="L912" s="19"/>
      <c r="M912" s="47"/>
      <c r="N912" s="20"/>
    </row>
    <row r="913" ht="22.5" customHeight="1">
      <c r="A913" s="20"/>
      <c r="B913" s="20"/>
      <c r="C913" s="20"/>
      <c r="D913" s="52"/>
      <c r="E913" s="20"/>
      <c r="F913" s="20"/>
      <c r="G913" s="20"/>
      <c r="H913" s="20"/>
      <c r="I913" s="20"/>
      <c r="J913" s="20"/>
      <c r="K913" s="20"/>
      <c r="L913" s="19"/>
      <c r="M913" s="47"/>
      <c r="N913" s="20"/>
    </row>
    <row r="914" ht="22.5" customHeight="1">
      <c r="A914" s="20"/>
      <c r="B914" s="20"/>
      <c r="C914" s="20"/>
      <c r="D914" s="52"/>
      <c r="E914" s="20"/>
      <c r="F914" s="20"/>
      <c r="G914" s="20"/>
      <c r="H914" s="20"/>
      <c r="I914" s="20"/>
      <c r="J914" s="20"/>
      <c r="K914" s="20"/>
      <c r="L914" s="19"/>
      <c r="M914" s="47"/>
      <c r="N914" s="20"/>
    </row>
    <row r="915" ht="22.5" customHeight="1">
      <c r="A915" s="20"/>
      <c r="B915" s="20"/>
      <c r="C915" s="20"/>
      <c r="D915" s="52"/>
      <c r="E915" s="20"/>
      <c r="F915" s="20"/>
      <c r="G915" s="20"/>
      <c r="H915" s="20"/>
      <c r="I915" s="20"/>
      <c r="J915" s="20"/>
      <c r="K915" s="20"/>
      <c r="L915" s="19"/>
      <c r="M915" s="47"/>
      <c r="N915" s="20"/>
    </row>
    <row r="916" ht="22.5" customHeight="1">
      <c r="A916" s="20"/>
      <c r="B916" s="20"/>
      <c r="C916" s="20"/>
      <c r="D916" s="52"/>
      <c r="E916" s="20"/>
      <c r="F916" s="20"/>
      <c r="G916" s="20"/>
      <c r="H916" s="20"/>
      <c r="I916" s="20"/>
      <c r="J916" s="20"/>
      <c r="K916" s="20"/>
      <c r="L916" s="19"/>
      <c r="M916" s="47"/>
      <c r="N916" s="20"/>
    </row>
    <row r="917" ht="22.5" customHeight="1">
      <c r="A917" s="20"/>
      <c r="B917" s="20"/>
      <c r="C917" s="20"/>
      <c r="D917" s="52"/>
      <c r="E917" s="20"/>
      <c r="F917" s="20"/>
      <c r="G917" s="20"/>
      <c r="H917" s="20"/>
      <c r="I917" s="20"/>
      <c r="J917" s="20"/>
      <c r="K917" s="20"/>
      <c r="L917" s="19"/>
      <c r="M917" s="47"/>
      <c r="N917" s="20"/>
    </row>
    <row r="918" ht="22.5" customHeight="1">
      <c r="A918" s="20"/>
      <c r="B918" s="20"/>
      <c r="C918" s="20"/>
      <c r="D918" s="52"/>
      <c r="E918" s="20"/>
      <c r="F918" s="20"/>
      <c r="G918" s="20"/>
      <c r="H918" s="20"/>
      <c r="I918" s="20"/>
      <c r="J918" s="20"/>
      <c r="K918" s="20"/>
      <c r="L918" s="19"/>
      <c r="M918" s="47"/>
      <c r="N918" s="20"/>
    </row>
    <row r="919" ht="22.5" customHeight="1">
      <c r="A919" s="20"/>
      <c r="B919" s="20"/>
      <c r="C919" s="20"/>
      <c r="D919" s="52"/>
      <c r="E919" s="20"/>
      <c r="F919" s="20"/>
      <c r="G919" s="20"/>
      <c r="H919" s="20"/>
      <c r="I919" s="20"/>
      <c r="J919" s="20"/>
      <c r="K919" s="20"/>
      <c r="L919" s="19"/>
      <c r="M919" s="47"/>
      <c r="N919" s="20"/>
    </row>
    <row r="920" ht="22.5" customHeight="1">
      <c r="A920" s="20"/>
      <c r="B920" s="20"/>
      <c r="C920" s="20"/>
      <c r="D920" s="52"/>
      <c r="E920" s="20"/>
      <c r="F920" s="20"/>
      <c r="G920" s="20"/>
      <c r="H920" s="20"/>
      <c r="I920" s="20"/>
      <c r="J920" s="20"/>
      <c r="K920" s="20"/>
      <c r="L920" s="19"/>
      <c r="M920" s="47"/>
      <c r="N920" s="20"/>
    </row>
    <row r="921" ht="22.5" customHeight="1">
      <c r="A921" s="20"/>
      <c r="B921" s="20"/>
      <c r="C921" s="20"/>
      <c r="D921" s="52"/>
      <c r="E921" s="20"/>
      <c r="F921" s="20"/>
      <c r="G921" s="20"/>
      <c r="H921" s="20"/>
      <c r="I921" s="20"/>
      <c r="J921" s="20"/>
      <c r="K921" s="20"/>
      <c r="L921" s="19"/>
      <c r="M921" s="47"/>
      <c r="N921" s="20"/>
    </row>
    <row r="922" ht="22.5" customHeight="1">
      <c r="A922" s="20"/>
      <c r="B922" s="20"/>
      <c r="C922" s="20"/>
      <c r="D922" s="52"/>
      <c r="E922" s="20"/>
      <c r="F922" s="20"/>
      <c r="G922" s="20"/>
      <c r="H922" s="20"/>
      <c r="I922" s="20"/>
      <c r="J922" s="20"/>
      <c r="K922" s="20"/>
      <c r="L922" s="19"/>
      <c r="M922" s="47"/>
      <c r="N922" s="20"/>
    </row>
    <row r="923" ht="22.5" customHeight="1">
      <c r="A923" s="20"/>
      <c r="B923" s="20"/>
      <c r="C923" s="20"/>
      <c r="D923" s="52"/>
      <c r="E923" s="20"/>
      <c r="F923" s="20"/>
      <c r="G923" s="20"/>
      <c r="H923" s="20"/>
      <c r="I923" s="20"/>
      <c r="J923" s="20"/>
      <c r="K923" s="20"/>
      <c r="L923" s="19"/>
      <c r="M923" s="47"/>
      <c r="N923" s="20"/>
    </row>
    <row r="924" ht="22.5" customHeight="1">
      <c r="A924" s="20"/>
      <c r="B924" s="20"/>
      <c r="C924" s="20"/>
      <c r="D924" s="52"/>
      <c r="E924" s="20"/>
      <c r="F924" s="20"/>
      <c r="G924" s="20"/>
      <c r="H924" s="20"/>
      <c r="I924" s="20"/>
      <c r="J924" s="20"/>
      <c r="K924" s="20"/>
      <c r="L924" s="19"/>
      <c r="M924" s="47"/>
      <c r="N924" s="20"/>
    </row>
    <row r="925" ht="22.5" customHeight="1">
      <c r="A925" s="20"/>
      <c r="B925" s="20"/>
      <c r="C925" s="20"/>
      <c r="D925" s="52"/>
      <c r="E925" s="20"/>
      <c r="F925" s="20"/>
      <c r="G925" s="20"/>
      <c r="H925" s="20"/>
      <c r="I925" s="20"/>
      <c r="J925" s="20"/>
      <c r="K925" s="20"/>
      <c r="L925" s="19"/>
      <c r="M925" s="47"/>
      <c r="N925" s="20"/>
    </row>
    <row r="926" ht="22.5" customHeight="1">
      <c r="A926" s="20"/>
      <c r="B926" s="20"/>
      <c r="C926" s="20"/>
      <c r="D926" s="52"/>
      <c r="E926" s="20"/>
      <c r="F926" s="20"/>
      <c r="G926" s="20"/>
      <c r="H926" s="20"/>
      <c r="I926" s="20"/>
      <c r="J926" s="20"/>
      <c r="K926" s="20"/>
      <c r="L926" s="19"/>
      <c r="M926" s="47"/>
      <c r="N926" s="20"/>
    </row>
    <row r="927" ht="22.5" customHeight="1">
      <c r="A927" s="20"/>
      <c r="B927" s="20"/>
      <c r="C927" s="20"/>
      <c r="D927" s="52"/>
      <c r="E927" s="20"/>
      <c r="F927" s="20"/>
      <c r="G927" s="20"/>
      <c r="H927" s="20"/>
      <c r="I927" s="20"/>
      <c r="J927" s="20"/>
      <c r="K927" s="20"/>
      <c r="L927" s="19"/>
      <c r="M927" s="47"/>
      <c r="N927" s="20"/>
    </row>
    <row r="928" ht="22.5" customHeight="1">
      <c r="A928" s="20"/>
      <c r="B928" s="20"/>
      <c r="C928" s="20"/>
      <c r="D928" s="52"/>
      <c r="E928" s="20"/>
      <c r="F928" s="20"/>
      <c r="G928" s="20"/>
      <c r="H928" s="20"/>
      <c r="I928" s="20"/>
      <c r="J928" s="20"/>
      <c r="K928" s="20"/>
      <c r="L928" s="19"/>
      <c r="M928" s="47"/>
      <c r="N928" s="20"/>
    </row>
    <row r="929" ht="22.5" customHeight="1">
      <c r="A929" s="20"/>
      <c r="B929" s="20"/>
      <c r="C929" s="20"/>
      <c r="D929" s="52"/>
      <c r="E929" s="20"/>
      <c r="F929" s="20"/>
      <c r="G929" s="20"/>
      <c r="H929" s="20"/>
      <c r="I929" s="20"/>
      <c r="J929" s="20"/>
      <c r="K929" s="20"/>
      <c r="L929" s="19"/>
      <c r="M929" s="47"/>
      <c r="N929" s="20"/>
    </row>
    <row r="930" ht="22.5" customHeight="1">
      <c r="A930" s="20"/>
      <c r="B930" s="20"/>
      <c r="C930" s="20"/>
      <c r="D930" s="52"/>
      <c r="E930" s="20"/>
      <c r="F930" s="20"/>
      <c r="G930" s="20"/>
      <c r="H930" s="20"/>
      <c r="I930" s="20"/>
      <c r="J930" s="20"/>
      <c r="K930" s="20"/>
      <c r="L930" s="19"/>
      <c r="M930" s="47"/>
      <c r="N930" s="20"/>
    </row>
    <row r="931" ht="22.5" customHeight="1">
      <c r="A931" s="20"/>
      <c r="B931" s="20"/>
      <c r="C931" s="20"/>
      <c r="D931" s="52"/>
      <c r="E931" s="20"/>
      <c r="F931" s="20"/>
      <c r="G931" s="20"/>
      <c r="H931" s="20"/>
      <c r="I931" s="20"/>
      <c r="J931" s="20"/>
      <c r="K931" s="20"/>
      <c r="L931" s="19"/>
      <c r="M931" s="47"/>
      <c r="N931" s="20"/>
    </row>
    <row r="932" ht="22.5" customHeight="1">
      <c r="A932" s="20"/>
      <c r="B932" s="20"/>
      <c r="C932" s="20"/>
      <c r="D932" s="52"/>
      <c r="E932" s="20"/>
      <c r="F932" s="20"/>
      <c r="G932" s="20"/>
      <c r="H932" s="20"/>
      <c r="I932" s="20"/>
      <c r="J932" s="20"/>
      <c r="K932" s="20"/>
      <c r="L932" s="19"/>
      <c r="M932" s="47"/>
      <c r="N932" s="20"/>
    </row>
    <row r="933" ht="22.5" customHeight="1">
      <c r="A933" s="20"/>
      <c r="B933" s="20"/>
      <c r="C933" s="20"/>
      <c r="D933" s="52"/>
      <c r="E933" s="20"/>
      <c r="F933" s="20"/>
      <c r="G933" s="20"/>
      <c r="H933" s="20"/>
      <c r="I933" s="20"/>
      <c r="J933" s="20"/>
      <c r="K933" s="20"/>
      <c r="L933" s="19"/>
      <c r="M933" s="47"/>
      <c r="N933" s="20"/>
    </row>
    <row r="934" ht="22.5" customHeight="1">
      <c r="A934" s="20"/>
      <c r="B934" s="20"/>
      <c r="C934" s="20"/>
      <c r="D934" s="52"/>
      <c r="E934" s="20"/>
      <c r="F934" s="20"/>
      <c r="G934" s="20"/>
      <c r="H934" s="20"/>
      <c r="I934" s="20"/>
      <c r="J934" s="20"/>
      <c r="K934" s="20"/>
      <c r="L934" s="19"/>
      <c r="M934" s="47"/>
      <c r="N934" s="20"/>
    </row>
    <row r="935" ht="22.5" customHeight="1">
      <c r="A935" s="20"/>
      <c r="B935" s="20"/>
      <c r="C935" s="20"/>
      <c r="D935" s="52"/>
      <c r="E935" s="20"/>
      <c r="F935" s="20"/>
      <c r="G935" s="20"/>
      <c r="H935" s="20"/>
      <c r="I935" s="20"/>
      <c r="J935" s="20"/>
      <c r="K935" s="20"/>
      <c r="L935" s="19"/>
      <c r="M935" s="47"/>
      <c r="N935" s="20"/>
    </row>
    <row r="936" ht="22.5" customHeight="1">
      <c r="A936" s="20"/>
      <c r="B936" s="20"/>
      <c r="C936" s="20"/>
      <c r="D936" s="52"/>
      <c r="E936" s="20"/>
      <c r="F936" s="20"/>
      <c r="G936" s="20"/>
      <c r="H936" s="20"/>
      <c r="I936" s="20"/>
      <c r="J936" s="20"/>
      <c r="K936" s="20"/>
      <c r="L936" s="19"/>
      <c r="M936" s="47"/>
      <c r="N936" s="20"/>
    </row>
    <row r="937" ht="22.5" customHeight="1">
      <c r="A937" s="20"/>
      <c r="B937" s="20"/>
      <c r="C937" s="20"/>
      <c r="D937" s="52"/>
      <c r="E937" s="20"/>
      <c r="F937" s="20"/>
      <c r="G937" s="20"/>
      <c r="H937" s="20"/>
      <c r="I937" s="20"/>
      <c r="J937" s="20"/>
      <c r="K937" s="20"/>
      <c r="L937" s="19"/>
      <c r="M937" s="47"/>
      <c r="N937" s="20"/>
    </row>
    <row r="938" ht="22.5" customHeight="1">
      <c r="A938" s="20"/>
      <c r="B938" s="20"/>
      <c r="C938" s="20"/>
      <c r="D938" s="52"/>
      <c r="E938" s="20"/>
      <c r="F938" s="20"/>
      <c r="G938" s="20"/>
      <c r="H938" s="20"/>
      <c r="I938" s="20"/>
      <c r="J938" s="20"/>
      <c r="K938" s="20"/>
      <c r="L938" s="19"/>
      <c r="M938" s="47"/>
      <c r="N938" s="20"/>
    </row>
    <row r="939" ht="22.5" customHeight="1">
      <c r="A939" s="20"/>
      <c r="B939" s="20"/>
      <c r="C939" s="20"/>
      <c r="D939" s="52"/>
      <c r="E939" s="20"/>
      <c r="F939" s="20"/>
      <c r="G939" s="20"/>
      <c r="H939" s="20"/>
      <c r="I939" s="20"/>
      <c r="J939" s="20"/>
      <c r="K939" s="20"/>
      <c r="L939" s="19"/>
      <c r="M939" s="47"/>
      <c r="N939" s="20"/>
    </row>
    <row r="940" ht="22.5" customHeight="1">
      <c r="A940" s="20"/>
      <c r="B940" s="20"/>
      <c r="C940" s="20"/>
      <c r="D940" s="52"/>
      <c r="E940" s="20"/>
      <c r="F940" s="20"/>
      <c r="G940" s="20"/>
      <c r="H940" s="20"/>
      <c r="I940" s="20"/>
      <c r="J940" s="20"/>
      <c r="K940" s="20"/>
      <c r="L940" s="19"/>
      <c r="M940" s="47"/>
      <c r="N940" s="20"/>
    </row>
    <row r="941" ht="22.5" customHeight="1">
      <c r="A941" s="20"/>
      <c r="B941" s="20"/>
      <c r="C941" s="20"/>
      <c r="D941" s="52"/>
      <c r="E941" s="20"/>
      <c r="F941" s="20"/>
      <c r="G941" s="20"/>
      <c r="H941" s="20"/>
      <c r="I941" s="20"/>
      <c r="J941" s="20"/>
      <c r="K941" s="20"/>
      <c r="L941" s="19"/>
      <c r="M941" s="47"/>
      <c r="N941" s="20"/>
    </row>
    <row r="942" ht="22.5" customHeight="1">
      <c r="A942" s="20"/>
      <c r="B942" s="20"/>
      <c r="C942" s="20"/>
      <c r="D942" s="52"/>
      <c r="E942" s="20"/>
      <c r="F942" s="20"/>
      <c r="G942" s="20"/>
      <c r="H942" s="20"/>
      <c r="I942" s="20"/>
      <c r="J942" s="20"/>
      <c r="K942" s="20"/>
      <c r="L942" s="19"/>
      <c r="M942" s="47"/>
      <c r="N942" s="20"/>
    </row>
    <row r="943" ht="22.5" customHeight="1">
      <c r="A943" s="20"/>
      <c r="B943" s="20"/>
      <c r="C943" s="20"/>
      <c r="D943" s="52"/>
      <c r="E943" s="20"/>
      <c r="F943" s="20"/>
      <c r="G943" s="20"/>
      <c r="H943" s="20"/>
      <c r="I943" s="20"/>
      <c r="J943" s="20"/>
      <c r="K943" s="20"/>
      <c r="L943" s="19"/>
      <c r="M943" s="47"/>
      <c r="N943" s="20"/>
    </row>
    <row r="944" ht="22.5" customHeight="1">
      <c r="A944" s="20"/>
      <c r="B944" s="20"/>
      <c r="C944" s="20"/>
      <c r="D944" s="52"/>
      <c r="E944" s="20"/>
      <c r="F944" s="20"/>
      <c r="G944" s="20"/>
      <c r="H944" s="20"/>
      <c r="I944" s="20"/>
      <c r="J944" s="20"/>
      <c r="K944" s="20"/>
      <c r="L944" s="19"/>
      <c r="M944" s="47"/>
      <c r="N944" s="20"/>
    </row>
    <row r="945" ht="22.5" customHeight="1">
      <c r="A945" s="20"/>
      <c r="B945" s="20"/>
      <c r="C945" s="20"/>
      <c r="D945" s="52"/>
      <c r="E945" s="20"/>
      <c r="F945" s="20"/>
      <c r="G945" s="20"/>
      <c r="H945" s="20"/>
      <c r="I945" s="20"/>
      <c r="J945" s="20"/>
      <c r="K945" s="20"/>
      <c r="L945" s="19"/>
      <c r="M945" s="47"/>
      <c r="N945" s="20"/>
    </row>
    <row r="946" ht="22.5" customHeight="1">
      <c r="A946" s="20"/>
      <c r="B946" s="20"/>
      <c r="C946" s="20"/>
      <c r="D946" s="52"/>
      <c r="E946" s="20"/>
      <c r="F946" s="20"/>
      <c r="G946" s="20"/>
      <c r="H946" s="20"/>
      <c r="I946" s="20"/>
      <c r="J946" s="20"/>
      <c r="K946" s="20"/>
      <c r="L946" s="19"/>
      <c r="M946" s="47"/>
      <c r="N946" s="20"/>
    </row>
    <row r="947" ht="22.5" customHeight="1">
      <c r="A947" s="20"/>
      <c r="B947" s="20"/>
      <c r="C947" s="20"/>
      <c r="D947" s="52"/>
      <c r="E947" s="20"/>
      <c r="F947" s="20"/>
      <c r="G947" s="20"/>
      <c r="H947" s="20"/>
      <c r="I947" s="20"/>
      <c r="J947" s="20"/>
      <c r="K947" s="20"/>
      <c r="L947" s="19"/>
      <c r="M947" s="47"/>
      <c r="N947" s="20"/>
    </row>
    <row r="948" ht="22.5" customHeight="1">
      <c r="A948" s="20"/>
      <c r="B948" s="20"/>
      <c r="C948" s="20"/>
      <c r="D948" s="52"/>
      <c r="E948" s="20"/>
      <c r="F948" s="20"/>
      <c r="G948" s="20"/>
      <c r="H948" s="20"/>
      <c r="I948" s="20"/>
      <c r="J948" s="20"/>
      <c r="K948" s="20"/>
      <c r="L948" s="19"/>
      <c r="M948" s="47"/>
      <c r="N948" s="20"/>
    </row>
    <row r="949" ht="22.5" customHeight="1">
      <c r="A949" s="20"/>
      <c r="B949" s="20"/>
      <c r="C949" s="20"/>
      <c r="D949" s="52"/>
      <c r="E949" s="20"/>
      <c r="F949" s="20"/>
      <c r="G949" s="20"/>
      <c r="H949" s="20"/>
      <c r="I949" s="20"/>
      <c r="J949" s="20"/>
      <c r="K949" s="20"/>
      <c r="L949" s="19"/>
      <c r="M949" s="47"/>
      <c r="N949" s="20"/>
    </row>
    <row r="950" ht="22.5" customHeight="1">
      <c r="A950" s="20"/>
      <c r="B950" s="20"/>
      <c r="C950" s="20"/>
      <c r="D950" s="52"/>
      <c r="E950" s="20"/>
      <c r="F950" s="20"/>
      <c r="G950" s="20"/>
      <c r="H950" s="20"/>
      <c r="I950" s="20"/>
      <c r="J950" s="20"/>
      <c r="K950" s="20"/>
      <c r="L950" s="19"/>
      <c r="M950" s="47"/>
      <c r="N950" s="20"/>
    </row>
    <row r="951" ht="22.5" customHeight="1">
      <c r="A951" s="20"/>
      <c r="B951" s="20"/>
      <c r="C951" s="20"/>
      <c r="D951" s="52"/>
      <c r="E951" s="20"/>
      <c r="F951" s="20"/>
      <c r="G951" s="20"/>
      <c r="H951" s="20"/>
      <c r="I951" s="20"/>
      <c r="J951" s="20"/>
      <c r="K951" s="20"/>
      <c r="L951" s="19"/>
      <c r="M951" s="47"/>
      <c r="N951" s="20"/>
    </row>
    <row r="952" ht="22.5" customHeight="1">
      <c r="A952" s="20"/>
      <c r="B952" s="20"/>
      <c r="C952" s="20"/>
      <c r="D952" s="52"/>
      <c r="E952" s="20"/>
      <c r="F952" s="20"/>
      <c r="G952" s="20"/>
      <c r="H952" s="20"/>
      <c r="I952" s="20"/>
      <c r="J952" s="20"/>
      <c r="K952" s="20"/>
      <c r="L952" s="19"/>
      <c r="M952" s="47"/>
      <c r="N952" s="20"/>
    </row>
    <row r="953" ht="22.5" customHeight="1">
      <c r="A953" s="20"/>
      <c r="B953" s="20"/>
      <c r="C953" s="20"/>
      <c r="D953" s="52"/>
      <c r="E953" s="20"/>
      <c r="F953" s="20"/>
      <c r="G953" s="20"/>
      <c r="H953" s="20"/>
      <c r="I953" s="20"/>
      <c r="J953" s="20"/>
      <c r="K953" s="20"/>
      <c r="L953" s="19"/>
      <c r="M953" s="47"/>
      <c r="N953" s="20"/>
    </row>
    <row r="954" ht="22.5" customHeight="1">
      <c r="A954" s="20"/>
      <c r="B954" s="20"/>
      <c r="C954" s="20"/>
      <c r="D954" s="52"/>
      <c r="E954" s="20"/>
      <c r="F954" s="20"/>
      <c r="G954" s="20"/>
      <c r="H954" s="20"/>
      <c r="I954" s="20"/>
      <c r="J954" s="20"/>
      <c r="K954" s="20"/>
      <c r="L954" s="19"/>
      <c r="M954" s="47"/>
      <c r="N954" s="20"/>
    </row>
    <row r="955" ht="22.5" customHeight="1">
      <c r="A955" s="20"/>
      <c r="B955" s="20"/>
      <c r="C955" s="20"/>
      <c r="D955" s="52"/>
      <c r="E955" s="20"/>
      <c r="F955" s="20"/>
      <c r="G955" s="20"/>
      <c r="H955" s="20"/>
      <c r="I955" s="20"/>
      <c r="J955" s="20"/>
      <c r="K955" s="20"/>
      <c r="L955" s="19"/>
      <c r="M955" s="47"/>
      <c r="N955" s="20"/>
    </row>
    <row r="956" ht="22.5" customHeight="1">
      <c r="A956" s="20"/>
      <c r="B956" s="20"/>
      <c r="C956" s="20"/>
      <c r="D956" s="52"/>
      <c r="E956" s="20"/>
      <c r="F956" s="20"/>
      <c r="G956" s="20"/>
      <c r="H956" s="20"/>
      <c r="I956" s="20"/>
      <c r="J956" s="20"/>
      <c r="K956" s="20"/>
      <c r="L956" s="19"/>
      <c r="M956" s="47"/>
      <c r="N956" s="20"/>
    </row>
    <row r="957" ht="22.5" customHeight="1">
      <c r="A957" s="20"/>
      <c r="B957" s="20"/>
      <c r="C957" s="20"/>
      <c r="D957" s="52"/>
      <c r="E957" s="20"/>
      <c r="F957" s="20"/>
      <c r="G957" s="20"/>
      <c r="H957" s="20"/>
      <c r="I957" s="20"/>
      <c r="J957" s="20"/>
      <c r="K957" s="20"/>
      <c r="L957" s="19"/>
      <c r="M957" s="47"/>
      <c r="N957" s="20"/>
    </row>
    <row r="958" ht="22.5" customHeight="1">
      <c r="A958" s="20"/>
      <c r="B958" s="20"/>
      <c r="C958" s="20"/>
      <c r="D958" s="52"/>
      <c r="E958" s="20"/>
      <c r="F958" s="20"/>
      <c r="G958" s="20"/>
      <c r="H958" s="20"/>
      <c r="I958" s="20"/>
      <c r="J958" s="20"/>
      <c r="K958" s="20"/>
      <c r="L958" s="19"/>
      <c r="M958" s="47"/>
      <c r="N958" s="20"/>
    </row>
    <row r="959" ht="22.5" customHeight="1">
      <c r="A959" s="20"/>
      <c r="B959" s="20"/>
      <c r="C959" s="20"/>
      <c r="D959" s="52"/>
      <c r="E959" s="20"/>
      <c r="F959" s="20"/>
      <c r="G959" s="20"/>
      <c r="H959" s="20"/>
      <c r="I959" s="20"/>
      <c r="J959" s="20"/>
      <c r="K959" s="20"/>
      <c r="L959" s="19"/>
      <c r="M959" s="47"/>
      <c r="N959" s="20"/>
    </row>
    <row r="960" ht="22.5" customHeight="1">
      <c r="A960" s="20"/>
      <c r="B960" s="20"/>
      <c r="C960" s="20"/>
      <c r="D960" s="52"/>
      <c r="E960" s="20"/>
      <c r="F960" s="20"/>
      <c r="G960" s="20"/>
      <c r="H960" s="20"/>
      <c r="I960" s="20"/>
      <c r="J960" s="20"/>
      <c r="K960" s="20"/>
      <c r="L960" s="19"/>
      <c r="M960" s="47"/>
      <c r="N960" s="20"/>
    </row>
    <row r="961" ht="22.5" customHeight="1">
      <c r="A961" s="20"/>
      <c r="B961" s="20"/>
      <c r="C961" s="20"/>
      <c r="D961" s="52"/>
      <c r="E961" s="20"/>
      <c r="F961" s="20"/>
      <c r="G961" s="20"/>
      <c r="H961" s="20"/>
      <c r="I961" s="20"/>
      <c r="J961" s="20"/>
      <c r="K961" s="20"/>
      <c r="L961" s="19"/>
      <c r="M961" s="47"/>
      <c r="N961" s="20"/>
    </row>
    <row r="962" ht="22.5" customHeight="1">
      <c r="A962" s="20"/>
      <c r="B962" s="20"/>
      <c r="C962" s="20"/>
      <c r="D962" s="52"/>
      <c r="E962" s="20"/>
      <c r="F962" s="20"/>
      <c r="G962" s="20"/>
      <c r="H962" s="20"/>
      <c r="I962" s="20"/>
      <c r="J962" s="20"/>
      <c r="K962" s="20"/>
      <c r="L962" s="19"/>
      <c r="M962" s="47"/>
      <c r="N962" s="20"/>
    </row>
    <row r="963" ht="22.5" customHeight="1">
      <c r="A963" s="20"/>
      <c r="B963" s="20"/>
      <c r="C963" s="20"/>
      <c r="D963" s="52"/>
      <c r="E963" s="20"/>
      <c r="F963" s="20"/>
      <c r="G963" s="20"/>
      <c r="H963" s="20"/>
      <c r="I963" s="20"/>
      <c r="J963" s="20"/>
      <c r="K963" s="20"/>
      <c r="L963" s="19"/>
      <c r="M963" s="47"/>
      <c r="N963" s="20"/>
    </row>
    <row r="964" ht="22.5" customHeight="1">
      <c r="A964" s="20"/>
      <c r="B964" s="20"/>
      <c r="C964" s="20"/>
      <c r="D964" s="52"/>
      <c r="E964" s="20"/>
      <c r="F964" s="20"/>
      <c r="G964" s="20"/>
      <c r="H964" s="20"/>
      <c r="I964" s="20"/>
      <c r="J964" s="20"/>
      <c r="K964" s="20"/>
      <c r="L964" s="19"/>
      <c r="M964" s="47"/>
      <c r="N964" s="20"/>
    </row>
    <row r="965" ht="22.5" customHeight="1">
      <c r="A965" s="20"/>
      <c r="B965" s="20"/>
      <c r="C965" s="20"/>
      <c r="D965" s="52"/>
      <c r="E965" s="20"/>
      <c r="F965" s="20"/>
      <c r="G965" s="20"/>
      <c r="H965" s="20"/>
      <c r="I965" s="20"/>
      <c r="J965" s="20"/>
      <c r="K965" s="20"/>
      <c r="L965" s="19"/>
      <c r="M965" s="47"/>
      <c r="N965" s="20"/>
    </row>
    <row r="966" ht="22.5" customHeight="1">
      <c r="A966" s="20"/>
      <c r="B966" s="20"/>
      <c r="C966" s="20"/>
      <c r="D966" s="52"/>
      <c r="E966" s="20"/>
      <c r="F966" s="20"/>
      <c r="G966" s="20"/>
      <c r="H966" s="20"/>
      <c r="I966" s="20"/>
      <c r="J966" s="20"/>
      <c r="K966" s="20"/>
      <c r="L966" s="19"/>
      <c r="M966" s="47"/>
      <c r="N966" s="20"/>
    </row>
    <row r="967" ht="22.5" customHeight="1">
      <c r="A967" s="20"/>
      <c r="B967" s="20"/>
      <c r="C967" s="20"/>
      <c r="D967" s="52"/>
      <c r="E967" s="20"/>
      <c r="F967" s="20"/>
      <c r="G967" s="20"/>
      <c r="H967" s="20"/>
      <c r="I967" s="20"/>
      <c r="J967" s="20"/>
      <c r="K967" s="20"/>
      <c r="L967" s="19"/>
      <c r="M967" s="47"/>
      <c r="N967" s="20"/>
    </row>
    <row r="968" ht="22.5" customHeight="1">
      <c r="A968" s="20"/>
      <c r="B968" s="20"/>
      <c r="C968" s="20"/>
      <c r="D968" s="52"/>
      <c r="E968" s="20"/>
      <c r="F968" s="20"/>
      <c r="G968" s="20"/>
      <c r="H968" s="20"/>
      <c r="I968" s="20"/>
      <c r="J968" s="20"/>
      <c r="K968" s="20"/>
      <c r="L968" s="19"/>
      <c r="M968" s="47"/>
      <c r="N968" s="20"/>
    </row>
    <row r="969" ht="22.5" customHeight="1">
      <c r="A969" s="20"/>
      <c r="B969" s="20"/>
      <c r="C969" s="20"/>
      <c r="D969" s="52"/>
      <c r="E969" s="20"/>
      <c r="F969" s="20"/>
      <c r="G969" s="20"/>
      <c r="H969" s="20"/>
      <c r="I969" s="20"/>
      <c r="J969" s="20"/>
      <c r="K969" s="20"/>
      <c r="L969" s="19"/>
      <c r="M969" s="47"/>
      <c r="N969" s="20"/>
    </row>
    <row r="970" ht="22.5" customHeight="1">
      <c r="A970" s="20"/>
      <c r="B970" s="20"/>
      <c r="C970" s="20"/>
      <c r="D970" s="52"/>
      <c r="E970" s="20"/>
      <c r="F970" s="20"/>
      <c r="G970" s="20"/>
      <c r="H970" s="20"/>
      <c r="I970" s="20"/>
      <c r="J970" s="20"/>
      <c r="K970" s="20"/>
      <c r="L970" s="19"/>
      <c r="M970" s="47"/>
      <c r="N970" s="20"/>
    </row>
    <row r="971" ht="22.5" customHeight="1">
      <c r="A971" s="20"/>
      <c r="B971" s="20"/>
      <c r="C971" s="20"/>
      <c r="D971" s="52"/>
      <c r="E971" s="20"/>
      <c r="F971" s="20"/>
      <c r="G971" s="20"/>
      <c r="H971" s="20"/>
      <c r="I971" s="20"/>
      <c r="J971" s="20"/>
      <c r="K971" s="20"/>
      <c r="L971" s="19"/>
      <c r="M971" s="47"/>
      <c r="N971" s="20"/>
    </row>
    <row r="972" ht="22.5" customHeight="1">
      <c r="A972" s="20"/>
      <c r="B972" s="20"/>
      <c r="C972" s="20"/>
      <c r="D972" s="52"/>
      <c r="E972" s="20"/>
      <c r="F972" s="20"/>
      <c r="G972" s="20"/>
      <c r="H972" s="20"/>
      <c r="I972" s="20"/>
      <c r="J972" s="20"/>
      <c r="K972" s="20"/>
      <c r="L972" s="19"/>
      <c r="M972" s="47"/>
      <c r="N972" s="20"/>
    </row>
    <row r="973" ht="22.5" customHeight="1">
      <c r="A973" s="20"/>
      <c r="B973" s="20"/>
      <c r="C973" s="20"/>
      <c r="D973" s="52"/>
      <c r="E973" s="20"/>
      <c r="F973" s="20"/>
      <c r="G973" s="20"/>
      <c r="H973" s="20"/>
      <c r="I973" s="20"/>
      <c r="J973" s="20"/>
      <c r="K973" s="20"/>
      <c r="L973" s="19"/>
      <c r="M973" s="47"/>
      <c r="N973" s="20"/>
    </row>
    <row r="974" ht="22.5" customHeight="1">
      <c r="A974" s="20"/>
      <c r="B974" s="20"/>
      <c r="C974" s="20"/>
      <c r="D974" s="52"/>
      <c r="E974" s="20"/>
      <c r="F974" s="20"/>
      <c r="G974" s="20"/>
      <c r="H974" s="20"/>
      <c r="I974" s="20"/>
      <c r="J974" s="20"/>
      <c r="K974" s="20"/>
      <c r="L974" s="19"/>
      <c r="M974" s="47"/>
      <c r="N974" s="20"/>
    </row>
    <row r="975" ht="22.5" customHeight="1">
      <c r="A975" s="20"/>
      <c r="B975" s="20"/>
      <c r="C975" s="20"/>
      <c r="D975" s="52"/>
      <c r="E975" s="20"/>
      <c r="F975" s="20"/>
      <c r="G975" s="20"/>
      <c r="H975" s="20"/>
      <c r="I975" s="20"/>
      <c r="J975" s="20"/>
      <c r="K975" s="20"/>
      <c r="L975" s="19"/>
      <c r="M975" s="47"/>
      <c r="N975" s="20"/>
    </row>
    <row r="976" ht="22.5" customHeight="1">
      <c r="A976" s="20"/>
      <c r="B976" s="20"/>
      <c r="C976" s="20"/>
      <c r="D976" s="52"/>
      <c r="E976" s="20"/>
      <c r="F976" s="20"/>
      <c r="G976" s="20"/>
      <c r="H976" s="20"/>
      <c r="I976" s="20"/>
      <c r="J976" s="20"/>
      <c r="K976" s="20"/>
      <c r="L976" s="19"/>
      <c r="M976" s="47"/>
      <c r="N976" s="20"/>
    </row>
    <row r="977" ht="22.5" customHeight="1">
      <c r="A977" s="20"/>
      <c r="B977" s="20"/>
      <c r="C977" s="20"/>
      <c r="D977" s="52"/>
      <c r="E977" s="20"/>
      <c r="F977" s="20"/>
      <c r="G977" s="20"/>
      <c r="H977" s="20"/>
      <c r="I977" s="20"/>
      <c r="J977" s="20"/>
      <c r="K977" s="20"/>
      <c r="L977" s="19"/>
      <c r="M977" s="47"/>
      <c r="N977" s="20"/>
    </row>
    <row r="978" ht="22.5" customHeight="1">
      <c r="A978" s="20"/>
      <c r="B978" s="20"/>
      <c r="C978" s="20"/>
      <c r="D978" s="52"/>
      <c r="E978" s="20"/>
      <c r="F978" s="20"/>
      <c r="G978" s="20"/>
      <c r="H978" s="20"/>
      <c r="I978" s="20"/>
      <c r="J978" s="20"/>
      <c r="K978" s="20"/>
      <c r="L978" s="19"/>
      <c r="M978" s="47"/>
      <c r="N978" s="20"/>
    </row>
    <row r="979" ht="22.5" customHeight="1">
      <c r="A979" s="20"/>
      <c r="B979" s="20"/>
      <c r="C979" s="20"/>
      <c r="D979" s="52"/>
      <c r="E979" s="20"/>
      <c r="F979" s="20"/>
      <c r="G979" s="20"/>
      <c r="H979" s="20"/>
      <c r="I979" s="20"/>
      <c r="J979" s="20"/>
      <c r="K979" s="20"/>
      <c r="L979" s="19"/>
      <c r="M979" s="47"/>
      <c r="N979" s="20"/>
    </row>
    <row r="980" ht="22.5" customHeight="1">
      <c r="A980" s="20"/>
      <c r="B980" s="20"/>
      <c r="C980" s="20"/>
      <c r="D980" s="52"/>
      <c r="E980" s="20"/>
      <c r="F980" s="20"/>
      <c r="G980" s="20"/>
      <c r="H980" s="20"/>
      <c r="I980" s="20"/>
      <c r="J980" s="20"/>
      <c r="K980" s="20"/>
      <c r="L980" s="19"/>
      <c r="M980" s="47"/>
      <c r="N980" s="20"/>
    </row>
    <row r="981" ht="22.5" customHeight="1">
      <c r="A981" s="20"/>
      <c r="B981" s="20"/>
      <c r="C981" s="20"/>
      <c r="D981" s="52"/>
      <c r="E981" s="20"/>
      <c r="F981" s="20"/>
      <c r="G981" s="20"/>
      <c r="H981" s="20"/>
      <c r="I981" s="20"/>
      <c r="J981" s="20"/>
      <c r="K981" s="20"/>
      <c r="L981" s="19"/>
      <c r="M981" s="47"/>
      <c r="N981" s="20"/>
    </row>
    <row r="982" ht="22.5" customHeight="1">
      <c r="A982" s="20"/>
      <c r="B982" s="20"/>
      <c r="C982" s="20"/>
      <c r="D982" s="52"/>
      <c r="E982" s="20"/>
      <c r="F982" s="20"/>
      <c r="G982" s="20"/>
      <c r="H982" s="20"/>
      <c r="I982" s="20"/>
      <c r="J982" s="20"/>
      <c r="K982" s="20"/>
      <c r="L982" s="19"/>
      <c r="M982" s="47"/>
      <c r="N982" s="20"/>
    </row>
    <row r="983" ht="22.5" customHeight="1">
      <c r="A983" s="20"/>
      <c r="B983" s="20"/>
      <c r="C983" s="20"/>
      <c r="D983" s="52"/>
      <c r="E983" s="20"/>
      <c r="F983" s="20"/>
      <c r="G983" s="20"/>
      <c r="H983" s="20"/>
      <c r="I983" s="20"/>
      <c r="J983" s="20"/>
      <c r="K983" s="20"/>
      <c r="L983" s="19"/>
      <c r="M983" s="47"/>
      <c r="N983" s="20"/>
    </row>
    <row r="984" ht="22.5" customHeight="1">
      <c r="A984" s="20"/>
      <c r="B984" s="20"/>
      <c r="C984" s="20"/>
      <c r="D984" s="52"/>
      <c r="E984" s="20"/>
      <c r="F984" s="20"/>
      <c r="G984" s="20"/>
      <c r="H984" s="20"/>
      <c r="I984" s="20"/>
      <c r="J984" s="20"/>
      <c r="K984" s="20"/>
      <c r="L984" s="19"/>
      <c r="M984" s="47"/>
      <c r="N984" s="20"/>
    </row>
    <row r="985" ht="22.5" customHeight="1">
      <c r="A985" s="20"/>
      <c r="B985" s="20"/>
      <c r="C985" s="20"/>
      <c r="D985" s="52"/>
      <c r="E985" s="20"/>
      <c r="F985" s="20"/>
      <c r="G985" s="20"/>
      <c r="H985" s="20"/>
      <c r="I985" s="20"/>
      <c r="J985" s="20"/>
      <c r="K985" s="20"/>
      <c r="L985" s="19"/>
      <c r="M985" s="47"/>
      <c r="N985" s="20"/>
    </row>
    <row r="986" ht="22.5" customHeight="1">
      <c r="A986" s="20"/>
      <c r="B986" s="20"/>
      <c r="C986" s="20"/>
      <c r="D986" s="52"/>
      <c r="E986" s="20"/>
      <c r="F986" s="20"/>
      <c r="G986" s="20"/>
      <c r="H986" s="20"/>
      <c r="I986" s="20"/>
      <c r="J986" s="20"/>
      <c r="K986" s="20"/>
      <c r="L986" s="19"/>
      <c r="M986" s="47"/>
      <c r="N986" s="20"/>
    </row>
    <row r="987" ht="22.5" customHeight="1">
      <c r="A987" s="20"/>
      <c r="B987" s="20"/>
      <c r="C987" s="20"/>
      <c r="D987" s="52"/>
      <c r="E987" s="20"/>
      <c r="F987" s="20"/>
      <c r="G987" s="20"/>
      <c r="H987" s="20"/>
      <c r="I987" s="20"/>
      <c r="J987" s="20"/>
      <c r="K987" s="20"/>
      <c r="L987" s="19"/>
      <c r="M987" s="47"/>
      <c r="N987" s="20"/>
    </row>
    <row r="988" ht="22.5" customHeight="1">
      <c r="A988" s="20"/>
      <c r="B988" s="20"/>
      <c r="C988" s="20"/>
      <c r="D988" s="52"/>
      <c r="E988" s="20"/>
      <c r="F988" s="20"/>
      <c r="G988" s="20"/>
      <c r="H988" s="20"/>
      <c r="I988" s="20"/>
      <c r="J988" s="20"/>
      <c r="K988" s="20"/>
      <c r="L988" s="19"/>
      <c r="M988" s="47"/>
      <c r="N988" s="20"/>
    </row>
    <row r="989" ht="22.5" customHeight="1">
      <c r="A989" s="20"/>
      <c r="B989" s="20"/>
      <c r="C989" s="20"/>
      <c r="D989" s="52"/>
      <c r="E989" s="20"/>
      <c r="F989" s="20"/>
      <c r="G989" s="20"/>
      <c r="H989" s="20"/>
      <c r="I989" s="20"/>
      <c r="J989" s="20"/>
      <c r="K989" s="20"/>
      <c r="L989" s="19"/>
      <c r="M989" s="47"/>
      <c r="N989" s="20"/>
    </row>
    <row r="990" ht="22.5" customHeight="1">
      <c r="A990" s="20"/>
      <c r="B990" s="20"/>
      <c r="C990" s="20"/>
      <c r="D990" s="52"/>
      <c r="E990" s="20"/>
      <c r="F990" s="20"/>
      <c r="G990" s="20"/>
      <c r="H990" s="20"/>
      <c r="I990" s="20"/>
      <c r="J990" s="20"/>
      <c r="K990" s="20"/>
      <c r="L990" s="19"/>
      <c r="M990" s="47"/>
      <c r="N990" s="20"/>
    </row>
    <row r="991" ht="22.5" customHeight="1">
      <c r="A991" s="20"/>
      <c r="B991" s="20"/>
      <c r="C991" s="20"/>
      <c r="D991" s="52"/>
      <c r="E991" s="20"/>
      <c r="F991" s="20"/>
      <c r="G991" s="20"/>
      <c r="H991" s="20"/>
      <c r="I991" s="20"/>
      <c r="J991" s="20"/>
      <c r="K991" s="20"/>
      <c r="L991" s="19"/>
      <c r="M991" s="47"/>
      <c r="N991" s="20"/>
    </row>
    <row r="992" ht="22.5" customHeight="1">
      <c r="A992" s="20"/>
      <c r="B992" s="20"/>
      <c r="C992" s="20"/>
      <c r="D992" s="52"/>
      <c r="E992" s="20"/>
      <c r="F992" s="20"/>
      <c r="G992" s="20"/>
      <c r="H992" s="20"/>
      <c r="I992" s="20"/>
      <c r="J992" s="20"/>
      <c r="K992" s="20"/>
      <c r="L992" s="19"/>
      <c r="M992" s="47"/>
      <c r="N992" s="20"/>
    </row>
    <row r="993" ht="22.5" customHeight="1">
      <c r="A993" s="20"/>
      <c r="B993" s="20"/>
      <c r="C993" s="20"/>
      <c r="D993" s="52"/>
      <c r="E993" s="20"/>
      <c r="F993" s="20"/>
      <c r="G993" s="20"/>
      <c r="H993" s="20"/>
      <c r="I993" s="20"/>
      <c r="J993" s="20"/>
      <c r="K993" s="20"/>
      <c r="L993" s="19"/>
      <c r="M993" s="47"/>
      <c r="N993" s="20"/>
    </row>
    <row r="994" ht="22.5" customHeight="1">
      <c r="A994" s="20"/>
      <c r="B994" s="20"/>
      <c r="C994" s="20"/>
      <c r="D994" s="52"/>
      <c r="E994" s="20"/>
      <c r="F994" s="20"/>
      <c r="G994" s="20"/>
      <c r="H994" s="20"/>
      <c r="I994" s="20"/>
      <c r="J994" s="20"/>
      <c r="K994" s="20"/>
      <c r="L994" s="19"/>
      <c r="M994" s="47"/>
      <c r="N994" s="20"/>
    </row>
    <row r="995" ht="22.5" customHeight="1">
      <c r="A995" s="20"/>
      <c r="B995" s="20"/>
      <c r="C995" s="20"/>
      <c r="D995" s="52"/>
      <c r="E995" s="20"/>
      <c r="F995" s="20"/>
      <c r="G995" s="20"/>
      <c r="H995" s="20"/>
      <c r="I995" s="20"/>
      <c r="J995" s="20"/>
      <c r="K995" s="20"/>
      <c r="L995" s="19"/>
      <c r="M995" s="47"/>
      <c r="N995" s="20"/>
    </row>
    <row r="996" ht="22.5" customHeight="1">
      <c r="A996" s="20"/>
      <c r="B996" s="20"/>
      <c r="C996" s="20"/>
      <c r="D996" s="52"/>
      <c r="E996" s="20"/>
      <c r="F996" s="20"/>
      <c r="G996" s="20"/>
      <c r="H996" s="20"/>
      <c r="I996" s="20"/>
      <c r="J996" s="20"/>
      <c r="K996" s="20"/>
      <c r="L996" s="19"/>
      <c r="M996" s="47"/>
      <c r="N996" s="20"/>
    </row>
    <row r="997" ht="22.5" customHeight="1">
      <c r="A997" s="20"/>
      <c r="B997" s="20"/>
      <c r="C997" s="20"/>
      <c r="D997" s="52"/>
      <c r="E997" s="20"/>
      <c r="F997" s="20"/>
      <c r="G997" s="20"/>
      <c r="H997" s="20"/>
      <c r="I997" s="20"/>
      <c r="J997" s="20"/>
      <c r="K997" s="20"/>
      <c r="L997" s="19"/>
      <c r="M997" s="47"/>
      <c r="N997" s="20"/>
    </row>
    <row r="998" ht="22.5" customHeight="1">
      <c r="A998" s="20"/>
      <c r="B998" s="20"/>
      <c r="C998" s="20"/>
      <c r="D998" s="52"/>
      <c r="E998" s="20"/>
      <c r="F998" s="20"/>
      <c r="G998" s="20"/>
      <c r="H998" s="20"/>
      <c r="I998" s="20"/>
      <c r="J998" s="20"/>
      <c r="K998" s="20"/>
      <c r="L998" s="19"/>
      <c r="M998" s="47"/>
      <c r="N998" s="20"/>
    </row>
    <row r="999" ht="22.5" customHeight="1">
      <c r="A999" s="20"/>
      <c r="B999" s="20"/>
      <c r="C999" s="20"/>
      <c r="D999" s="52"/>
      <c r="E999" s="20"/>
      <c r="F999" s="20"/>
      <c r="G999" s="20"/>
      <c r="H999" s="20"/>
      <c r="I999" s="20"/>
      <c r="J999" s="20"/>
      <c r="K999" s="20"/>
      <c r="L999" s="19"/>
      <c r="M999" s="47"/>
      <c r="N999" s="20"/>
    </row>
    <row r="1000" ht="22.5" customHeight="1">
      <c r="A1000" s="20"/>
      <c r="B1000" s="20"/>
      <c r="C1000" s="20"/>
      <c r="D1000" s="52"/>
      <c r="E1000" s="20"/>
      <c r="F1000" s="20"/>
      <c r="G1000" s="20"/>
      <c r="H1000" s="20"/>
      <c r="I1000" s="20"/>
      <c r="J1000" s="20"/>
      <c r="K1000" s="20"/>
      <c r="L1000" s="19"/>
      <c r="M1000" s="47"/>
      <c r="N1000" s="20"/>
    </row>
  </sheetData>
  <conditionalFormatting sqref="K1:M1000 V6:W1000">
    <cfRule type="cellIs" dxfId="7" priority="1" operator="greaterThanOrEqual">
      <formula>0</formula>
    </cfRule>
  </conditionalFormatting>
  <conditionalFormatting sqref="K1:M1000 V6:W1000">
    <cfRule type="cellIs" dxfId="8" priority="2" operator="lessThan">
      <formula>0</formula>
    </cfRule>
  </conditionalFormatting>
  <conditionalFormatting sqref="K1:M1000 N3:O1000">
    <cfRule type="cellIs" dxfId="13" priority="3" operator="greaterThanOrEqual">
      <formula>0</formula>
    </cfRule>
  </conditionalFormatting>
  <conditionalFormatting sqref="K1:M1000 N3:O1000">
    <cfRule type="cellIs" dxfId="14" priority="4" operator="lessThan">
      <formula>0</formula>
    </cfRule>
  </conditionalFormatting>
  <dataValidations>
    <dataValidation type="custom" allowBlank="1" showDropDown="1" sqref="V4:W6 L2:L1000">
      <formula1>AND(ISNUMBER(L2),(NOT(OR(NOT(ISERROR(DATEVALUE(L2))), AND(ISNUMBER(L2), LEFT(CELL("format", L2))="D")))))</formula1>
    </dataValidation>
    <dataValidation allowBlank="1" showDropDown="1" sqref="D2:D1000"/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23" t="s">
        <v>130</v>
      </c>
      <c r="B1" s="123" t="s">
        <v>86</v>
      </c>
      <c r="C1" s="123" t="s">
        <v>87</v>
      </c>
      <c r="D1" s="123" t="s">
        <v>5</v>
      </c>
      <c r="E1" s="123" t="s">
        <v>89</v>
      </c>
      <c r="F1" s="123" t="s">
        <v>90</v>
      </c>
      <c r="G1" s="123" t="s">
        <v>101</v>
      </c>
      <c r="H1" s="123" t="s">
        <v>1</v>
      </c>
    </row>
    <row r="2" ht="22.5" customHeight="1">
      <c r="A2" s="186"/>
      <c r="B2" s="187"/>
      <c r="C2" s="22"/>
      <c r="D2" s="22"/>
      <c r="E2" s="22"/>
      <c r="F2" s="22"/>
      <c r="G2" s="22"/>
      <c r="H2" s="37">
        <f>E2*F2</f>
        <v>0</v>
      </c>
    </row>
    <row r="3" ht="22.5" customHeight="1">
      <c r="A3" s="188"/>
      <c r="B3" s="189"/>
      <c r="H3" s="37"/>
    </row>
  </sheetData>
  <drawing r:id="rId1"/>
  <tableParts count="1">
    <tablePart r:id="rId3"/>
  </tableParts>
</worksheet>
</file>